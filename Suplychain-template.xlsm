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285" yWindow="135" windowWidth="16140" windowHeight="9990"/>
  </bookViews>
  <sheets>
    <sheet name="Screening" sheetId="1" r:id="rId1"/>
    <sheet name="Aggregates" sheetId="2" r:id="rId2"/>
    <sheet name="Screen Criteria" sheetId="3" r:id="rId3"/>
  </sheets>
  <definedNames>
    <definedName name="CIQWBGuid" hidden="1">"9405b008-cbd3-4b04-999f-38aa389fce79"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42726.1894560185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QRScreeningB19" hidden="1">Screening!$B$20:$B$24</definedName>
    <definedName name="_xlnm.Print_Titles" localSheetId="1">Aggregates!$1:$3</definedName>
    <definedName name="_xlnm.Print_Titles" localSheetId="2">'Screen Criteria'!$1:$3</definedName>
    <definedName name="_xlnm.Print_Titles" localSheetId="0">Screening!$1:$3</definedName>
  </definedNames>
  <calcPr calcId="125725" calcOnSave="0"/>
  <fileRecoveryPr autoRecover="0"/>
</workbook>
</file>

<file path=xl/calcChain.xml><?xml version="1.0" encoding="utf-8"?>
<calcChain xmlns="http://schemas.openxmlformats.org/spreadsheetml/2006/main">
  <c r="A14" i="1"/>
  <c r="A12"/>
  <c r="A13"/>
  <c r="A11"/>
  <c r="G1"/>
  <c r="I1"/>
  <c r="O1"/>
  <c r="U1"/>
  <c r="AZ1"/>
  <c r="BB1"/>
  <c r="BL1"/>
  <c r="DO1"/>
  <c r="EU1"/>
  <c r="GE1"/>
  <c r="GG1"/>
  <c r="GH1"/>
  <c r="C9"/>
  <c r="D9"/>
  <c r="B9"/>
  <c r="D2"/>
  <c r="GI9"/>
  <c r="GH9"/>
  <c r="GG9"/>
  <c r="GF9"/>
  <c r="GD9"/>
  <c r="GC9"/>
  <c r="FX9"/>
  <c r="FW9"/>
  <c r="FV9"/>
  <c r="FU9"/>
  <c r="FT9"/>
  <c r="FS9"/>
  <c r="FR9"/>
  <c r="FQ9"/>
  <c r="FP9"/>
  <c r="FO9"/>
  <c r="FN9"/>
  <c r="FM9"/>
  <c r="FL9"/>
  <c r="FK9"/>
  <c r="FJ9"/>
  <c r="FI9"/>
  <c r="FH9"/>
  <c r="FG9"/>
  <c r="FF9"/>
  <c r="FE9"/>
  <c r="FC9"/>
  <c r="FB9"/>
  <c r="FA9"/>
  <c r="EY9"/>
  <c r="EW9"/>
  <c r="EV9"/>
  <c r="EU9"/>
  <c r="ET9"/>
  <c r="ES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DA9"/>
  <c r="CZ9"/>
  <c r="CY9"/>
  <c r="CW9"/>
  <c r="CV9"/>
  <c r="CU9"/>
  <c r="CQ9"/>
  <c r="CP9"/>
  <c r="CO9"/>
  <c r="CN9"/>
  <c r="CM9"/>
  <c r="CL9"/>
  <c r="CK9"/>
  <c r="CI9"/>
  <c r="CH9"/>
  <c r="CG9"/>
  <c r="CF9"/>
  <c r="CE9"/>
  <c r="CD9"/>
  <c r="CC9"/>
  <c r="CB9"/>
  <c r="BZ9"/>
  <c r="BY9"/>
  <c r="BX9"/>
  <c r="BW9"/>
  <c r="BT9"/>
  <c r="BS9"/>
  <c r="BR9"/>
  <c r="BP9"/>
  <c r="BO9"/>
  <c r="BL9"/>
  <c r="BK9"/>
  <c r="BJ9"/>
  <c r="BI9"/>
  <c r="BG9"/>
  <c r="BF9"/>
  <c r="BE9"/>
  <c r="BC9"/>
  <c r="AZ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V9"/>
  <c r="U9"/>
  <c r="T9"/>
  <c r="S9"/>
  <c r="R9"/>
  <c r="Q9"/>
  <c r="P9"/>
  <c r="O9"/>
  <c r="N9"/>
  <c r="M9"/>
  <c r="L9"/>
  <c r="K9"/>
  <c r="J9"/>
  <c r="I9"/>
  <c r="H9"/>
  <c r="G9"/>
  <c r="F9"/>
  <c r="E9"/>
  <c r="W9"/>
  <c r="X9"/>
  <c r="Y9"/>
  <c r="Z9"/>
  <c r="AA9"/>
  <c r="AB9"/>
  <c r="AY9"/>
  <c r="BA9"/>
  <c r="BB9"/>
  <c r="BD9"/>
  <c r="BH9"/>
  <c r="BM9"/>
  <c r="BN9"/>
  <c r="BQ9"/>
  <c r="BU9"/>
  <c r="BV9"/>
  <c r="CA9"/>
  <c r="CJ9"/>
  <c r="CR9"/>
  <c r="CS9"/>
  <c r="CT9"/>
  <c r="CX9"/>
  <c r="ER9"/>
  <c r="EX9"/>
  <c r="EZ9"/>
  <c r="FD9"/>
  <c r="GK9"/>
  <c r="FZ9"/>
  <c r="GA9"/>
  <c r="GB9"/>
  <c r="GE9"/>
  <c r="E8"/>
  <c r="F8"/>
  <c r="G8"/>
  <c r="H8"/>
  <c r="I8"/>
  <c r="J8"/>
  <c r="K8"/>
  <c r="L8"/>
  <c r="M8"/>
  <c r="N8"/>
  <c r="O8"/>
  <c r="P8"/>
  <c r="Q8"/>
  <c r="R8"/>
  <c r="S8"/>
  <c r="T8"/>
  <c r="U8"/>
  <c r="V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Z8"/>
  <c r="BC8"/>
  <c r="BE8"/>
  <c r="BF8"/>
  <c r="BG8"/>
  <c r="BI8"/>
  <c r="BJ8"/>
  <c r="BK8"/>
  <c r="BL8"/>
  <c r="BO8"/>
  <c r="BP8"/>
  <c r="BR8"/>
  <c r="BS8"/>
  <c r="BT8"/>
  <c r="BW8"/>
  <c r="BX8"/>
  <c r="BY8"/>
  <c r="BZ8"/>
  <c r="CB8"/>
  <c r="CC8"/>
  <c r="CD8"/>
  <c r="CE8"/>
  <c r="CF8"/>
  <c r="CG8"/>
  <c r="CH8"/>
  <c r="CI8"/>
  <c r="CK8"/>
  <c r="CL8"/>
  <c r="CM8"/>
  <c r="CN8"/>
  <c r="CO8"/>
  <c r="CP8"/>
  <c r="CQ8"/>
  <c r="CU8"/>
  <c r="CV8"/>
  <c r="CW8"/>
  <c r="CY8"/>
  <c r="CZ8"/>
  <c r="DA8"/>
  <c r="DB8"/>
  <c r="DC8"/>
  <c r="DD8"/>
  <c r="DE8"/>
  <c r="DF8"/>
  <c r="DG8"/>
  <c r="DH8"/>
  <c r="DI8"/>
  <c r="DJ8"/>
  <c r="DK8"/>
  <c r="DL8"/>
  <c r="DM8"/>
  <c r="DN8"/>
  <c r="DO8"/>
  <c r="DP8"/>
  <c r="DQ8"/>
  <c r="DR8"/>
  <c r="DS8"/>
  <c r="DT8"/>
  <c r="DU8"/>
  <c r="DV8"/>
  <c r="DW8"/>
  <c r="DX8"/>
  <c r="DY8"/>
  <c r="DZ8"/>
  <c r="EA8"/>
  <c r="EB8"/>
  <c r="EC8"/>
  <c r="ED8"/>
  <c r="EE8"/>
  <c r="EF8"/>
  <c r="EG8"/>
  <c r="EH8"/>
  <c r="EI8"/>
  <c r="EJ8"/>
  <c r="EK8"/>
  <c r="EL8"/>
  <c r="EM8"/>
  <c r="EN8"/>
  <c r="EO8"/>
  <c r="EP8"/>
  <c r="EQ8"/>
  <c r="ES8"/>
  <c r="ET8"/>
  <c r="EU8"/>
  <c r="EV8"/>
  <c r="EW8"/>
  <c r="EY8"/>
  <c r="FA8"/>
  <c r="FB8"/>
  <c r="FC8"/>
  <c r="FE8"/>
  <c r="FF8"/>
  <c r="FG8"/>
  <c r="FH8"/>
  <c r="FI8"/>
  <c r="FJ8"/>
  <c r="FK8"/>
  <c r="FL8"/>
  <c r="FM8"/>
  <c r="FN8"/>
  <c r="FO8"/>
  <c r="FP8"/>
  <c r="FQ8"/>
  <c r="FR8"/>
  <c r="FS8"/>
  <c r="FT8"/>
  <c r="FU8"/>
  <c r="FV8"/>
  <c r="FW8"/>
  <c r="FX8"/>
  <c r="FY8"/>
  <c r="GC8"/>
  <c r="GD8"/>
  <c r="GF8"/>
  <c r="GG8"/>
  <c r="GH8"/>
  <c r="GI8"/>
  <c r="GL8"/>
  <c r="GL9"/>
  <c r="GM8" l="1"/>
  <c r="GM9"/>
  <c r="GN8" l="1"/>
  <c r="GN9"/>
  <c r="GO8" l="1"/>
  <c r="GO9"/>
  <c r="FY9" l="1"/>
</calcChain>
</file>

<file path=xl/sharedStrings.xml><?xml version="1.0" encoding="utf-8"?>
<sst xmlns="http://schemas.openxmlformats.org/spreadsheetml/2006/main" count="839" uniqueCount="239">
  <si>
    <t>Capital IQ Company Screening Report</t>
  </si>
  <si>
    <t>Company Name</t>
  </si>
  <si>
    <t>Exchange:Ticker</t>
  </si>
  <si>
    <t>Geographic Locations</t>
  </si>
  <si>
    <t>Market Capitalization [My Setting] [Latest] ($USDmm, Historical rate)</t>
  </si>
  <si>
    <t>Total Enterprise Value [My Setting] [Latest] ($USDmm, Historical rate)</t>
  </si>
  <si>
    <t>Implied Market Capitalization [My Setting] [Latest] ($USDmm, Historical rate)</t>
  </si>
  <si>
    <t>Total Revenue [LTM] ($USDmm, Historical rate)</t>
  </si>
  <si>
    <t>Gross Profit [LTM] ($USDmm, Historical rate)</t>
  </si>
  <si>
    <t>EBITDA [LTM] ($USDmm, Historical rate)</t>
  </si>
  <si>
    <t>EBIT [LTM] ($USDmm, Historical rate)</t>
  </si>
  <si>
    <t>Earnings from Cont. Ops. [LTM] ($USDmm, Historical rate)</t>
  </si>
  <si>
    <t>Net Income [LTM] ($USDmm, Historical rate)</t>
  </si>
  <si>
    <t>Cash And Equivalents [Latest Annual] ($USDmm, Historical rate)</t>
  </si>
  <si>
    <t>Total Cash &amp; ST Investments [Latest Annual] ($USDmm, Historical rate)</t>
  </si>
  <si>
    <t>Net Property, Plant &amp; Equipment [Latest Annual] ($USDmm, Historical rate)</t>
  </si>
  <si>
    <t>Total Assets [Latest Annual] ($USDmm, Historical rate)</t>
  </si>
  <si>
    <t>Total Debt [Latest Annual] ($USDmm, Historical rate)</t>
  </si>
  <si>
    <t>Total Equity [Latest Annual] ($USDmm, Historical rate)</t>
  </si>
  <si>
    <t>Cash from Ops. [LTM] ($USDmm, Historical rate)</t>
  </si>
  <si>
    <t>Capital Expenditure [LTM] ($USDmm, Historical rate)</t>
  </si>
  <si>
    <t>Dividends per share [LTM] ($USD, Historical rate)</t>
  </si>
  <si>
    <t>Period Date, Income Statement [LTM]</t>
  </si>
  <si>
    <t>Period Date, Balance Sheet [LTM]</t>
  </si>
  <si>
    <t>Period Date, Cash Flow [LTM]</t>
  </si>
  <si>
    <t>Filing Date, Income Statement [LTM]</t>
  </si>
  <si>
    <t>Filing Date, Balance Sheet [LTM]</t>
  </si>
  <si>
    <t>Filing Date, Cash Flow [LTM]</t>
  </si>
  <si>
    <t>Revenues [LTM] ($USDmm, Historical rate)</t>
  </si>
  <si>
    <t>Other Revenues, Total [LTM] ($USDmm, Historical rate)</t>
  </si>
  <si>
    <t>Gain(Loss) on Sale Of Invest.(Rev) [LTM] ($USDmm, Historical rate)</t>
  </si>
  <si>
    <t>Interest And Invest. Income (Rev) [LTM] ($USDmm, Historical rate)</t>
  </si>
  <si>
    <t>Other Revenues [LTM] ($USDmm, Historical rate)</t>
  </si>
  <si>
    <t>Cost Of Goods Sold [LTM] ($USDmm, Historical rate)</t>
  </si>
  <si>
    <t>Finance Div. Operating Exp. [LTM] ($USDmm, Historical rate)</t>
  </si>
  <si>
    <t>Insurance Div. Operating Exp. [LTM] ($USDmm, Historical rate)</t>
  </si>
  <si>
    <t>Interest Expense - Finance Division [LTM] ($USDmm, Historical rate)</t>
  </si>
  <si>
    <t>SG&amp;A Exp., Total [LTM] ($USDmm, Historical rate)</t>
  </si>
  <si>
    <t>Selling General &amp; Admin Exp. [LTM] ($USDmm, Historical rate)</t>
  </si>
  <si>
    <t>Total Operating Expenses [LTM] ($USDmm, Historical rate)</t>
  </si>
  <si>
    <t>Operating Income [LTM] ($USDmm, Historical rate)</t>
  </si>
  <si>
    <t>Interest Expense [LTM] ($USDmm, Historical rate)</t>
  </si>
  <si>
    <t>Investment Income [LTM] ($USDmm, Historical rate)</t>
  </si>
  <si>
    <t>Net Interest Exp. [LTM] ($USDmm, Historical rate)</t>
  </si>
  <si>
    <t>Other Non-Operating Exp., Total [LTM] ($USDmm, Historical rate)</t>
  </si>
  <si>
    <t>Income / (Loss) from Affiliates [LTM] ($USDmm, Historical rate)</t>
  </si>
  <si>
    <t>Currency Exchange Gains (Loss) [LTM] ($USDmm, Historical rate)</t>
  </si>
  <si>
    <t>Other Non-Operating Inc. (Exp.) [LTM] ($USDmm, Historical rate)</t>
  </si>
  <si>
    <t>EBT Excl Unusual Items [LTM] ($USDmm, Historical rate)</t>
  </si>
  <si>
    <t>Stock-Based Comp., COGS [LTM] ($USDmm, Historical rate)</t>
  </si>
  <si>
    <t>SG&amp;A Margin % [LTM]</t>
  </si>
  <si>
    <t>SG&amp;A Costs Per Member Per Month [Latest Annual] ($USD, Historical rate)</t>
  </si>
  <si>
    <t>TEV/LTM EBITDA [My Setting] [Latest] (x)</t>
  </si>
  <si>
    <t>EBITDA Margin % [LTM]</t>
  </si>
  <si>
    <t>EBITDA - Capital IQ [NTM] ($USDmm, Historical rate)</t>
  </si>
  <si>
    <t>Total Shares Out. on Balance Sheet Date [Latest Annual] (mm)</t>
  </si>
  <si>
    <t>Depreciation &amp; Amort., Total [LTM] ($USDmm, Historical rate)</t>
  </si>
  <si>
    <t>Depreciation &amp; Amort. [LTM] ($USDmm, Historical rate)</t>
  </si>
  <si>
    <t>Total Current Taxes [Latest Annual] ($USD, Historical rate)</t>
  </si>
  <si>
    <t>Return on Assets % [LTM]</t>
  </si>
  <si>
    <t>Total Current Assets [Latest Annual] ($USDmm, Historical rate)</t>
  </si>
  <si>
    <t>Assets Under Management [Latest Annual] ($USDmm, Historical rate)</t>
  </si>
  <si>
    <t>Total Plan Assets (Pension) [Latest Annual] ($USD, Historical rate)</t>
  </si>
  <si>
    <t>Asset Writedown [LTM] ($USDmm, Historical rate)</t>
  </si>
  <si>
    <t>Fixed Asset Turnover [Latest Quarter]</t>
  </si>
  <si>
    <t>Total Asset Turnover [Latest Quarter]</t>
  </si>
  <si>
    <t>Assets Under Management - Private Equity [Latest Annual] ($USDmm, Historical rate)</t>
  </si>
  <si>
    <t>Total Assets [Latest Quarter] ($USDmm, Historical rate)</t>
  </si>
  <si>
    <t>Assets Under Management - Total Customers [Latest Annual]</t>
  </si>
  <si>
    <t>Trading Asset Securities [Latest Annual] ($USDmm, Historical rate)</t>
  </si>
  <si>
    <t>Non Performing Assets [Latest Quarter] ($USDmm, Historical rate)</t>
  </si>
  <si>
    <t>Inventory [Latest Annual] ($USDmm, Historical rate)</t>
  </si>
  <si>
    <t>Inventory Turnover [Latest Quarter]</t>
  </si>
  <si>
    <t>Avg. Days Inventory Out. [Latest Quarter] (Days)</t>
  </si>
  <si>
    <t>Finished Goods Inventory [Latest Annual] ($USD, Historical rate)</t>
  </si>
  <si>
    <t>Raw Materials Inventory [Latest Annual] ($USD, Historical rate)</t>
  </si>
  <si>
    <t>Total Current Liabilities [Latest Annual] ($USDmm, Historical rate)</t>
  </si>
  <si>
    <t>Total Liabilities [Latest Annual] ($USDmm, Historical rate)</t>
  </si>
  <si>
    <t>Cash from Ops. to Curr. Liab. [Latest Quarter]</t>
  </si>
  <si>
    <t>Long Term Liabilities (Pension) [Latest Annual] ($USDmm, Historical rate)</t>
  </si>
  <si>
    <t>Other Non-Current Liabilities [Latest Annual] ($USDmm, Historical rate)</t>
  </si>
  <si>
    <t>Total Liabilities And Equity [Latest Annual] ($USDmm, Historical rate)</t>
  </si>
  <si>
    <t>Current Liabilities (OPEB) [Latest Annual] ($USDmm, Historical rate)</t>
  </si>
  <si>
    <t>Insurance And Annuity Liabilities [Latest Annual] ($USDmm, Historical rate)</t>
  </si>
  <si>
    <t>Annuity Liabilities [Latest Quarter] ($USDmm, Historical rate)</t>
  </si>
  <si>
    <t>Current Liabilities (OPEB) - Domestic [Latest Annual] ($USDmm, Historical rate)</t>
  </si>
  <si>
    <t>Derivative Liabilities - Total Before Netting [LTM] ($USDmm, Historical rate)</t>
  </si>
  <si>
    <t>Earnings from Cont. Ops., 5 Yr CAGR % [LTM] (%)</t>
  </si>
  <si>
    <t>In Process R&amp;D Exp. [LTM] ($USDmm, Historical rate)</t>
  </si>
  <si>
    <t>Insurance Settlements [LTM] ($USDmm, Historical rate)</t>
  </si>
  <si>
    <t>Legal Settlements [LTM] ($USDmm, Historical rate)</t>
  </si>
  <si>
    <t>Earnings of Discontinued Ops. [LTM] ($USDmm, Historical rate)</t>
  </si>
  <si>
    <t>Net Income to Company [LTM] ($USDmm, Historical rate)</t>
  </si>
  <si>
    <t>Minority Int. in Earnings [LTM] ($USDmm, Historical rate)</t>
  </si>
  <si>
    <t>Basic EPS [LTM] ($USD, Historical rate)</t>
  </si>
  <si>
    <t>Weighted Avg Shares Outstanding [LTM]</t>
  </si>
  <si>
    <t>Corporate Tax Rate [LTM] (%)</t>
  </si>
  <si>
    <t>Payout Ratio [LTM] (%)</t>
  </si>
  <si>
    <t>EBITA [LTM] ($USDmm, Historical rate)</t>
  </si>
  <si>
    <t>EBITDAR [LTM] ($USDmm, Historical rate)</t>
  </si>
  <si>
    <t>EBITDA - CAPEX [LTM] ($USD, Historical rate)</t>
  </si>
  <si>
    <t>Effective Tax Rate [LTM] (%)</t>
  </si>
  <si>
    <t>As-Reported Total Revenue [LTM] ($USD, Historical rate)</t>
  </si>
  <si>
    <t>Advertising Expense [LTM] ($USDmm, Historical rate)</t>
  </si>
  <si>
    <t>Marketing Expense [LTM] ($USDmm, Historical rate)</t>
  </si>
  <si>
    <t>Selling and Marketing Expense [LTM] ($USDmm, Historical rate)</t>
  </si>
  <si>
    <t>General and Administrative Expense [LTM] ($USDmm, Historical rate)</t>
  </si>
  <si>
    <t>R&amp;D Exp. [LTM] ($USDmm, Historical rate)</t>
  </si>
  <si>
    <t>Diluted Net Income [LTM] ($USDmm, Historical rate)</t>
  </si>
  <si>
    <t>Imputed Oper. Lease Interest Exp. [LTM] ($USDmm, Historical rate)</t>
  </si>
  <si>
    <t>Imputed Oper. Lease Depreciation [LTM] ($USDmm, Historical rate)</t>
  </si>
  <si>
    <t>Stock-Based Compensation [LTM] ($USDmm, Historical rate)</t>
  </si>
  <si>
    <t>Stock-Based Comp., G&amp;A Exp. [LTM] ($USDmm, Historical rate)</t>
  </si>
  <si>
    <t>Stock-Based Comp., R&amp;D Exp. [LTM] ($USDmm, Historical rate)</t>
  </si>
  <si>
    <t>Stock-Based Comp., S&amp;M Exp. [LTM] ($USDmm, Historical rate)</t>
  </si>
  <si>
    <t>Stock-Based Comp., Total [LTM] ($USDmm, Historical rate)</t>
  </si>
  <si>
    <t>Stock-Based Comp., SG&amp;A Exp. [LTM] ($USDmm, Historical rate)</t>
  </si>
  <si>
    <t>Distributable Cash [LTM] ($USDmm, Historical rate)</t>
  </si>
  <si>
    <t>Debt Issuance Costs [LTM] ($USDmm, Historical rate)</t>
  </si>
  <si>
    <t>Short Term Investments [Latest Annual] ($USDmm, Historical rate)</t>
  </si>
  <si>
    <t>Accounts Receivable [Latest Annual] ($USDmm, Historical rate)</t>
  </si>
  <si>
    <t>Other Receivables [Latest Annual] ($USDmm, Historical rate)</t>
  </si>
  <si>
    <t>Notes Receivable [Latest Annual] ($USDmm, Historical rate)</t>
  </si>
  <si>
    <t>Total Receivables [Latest Annual] ($USDmm, Historical rate)</t>
  </si>
  <si>
    <t>Prepaid Exp. [Latest Annual] ($USDmm, Historical rate)</t>
  </si>
  <si>
    <t>Finance Div. Loans and Leases, LT [Latest Annual] ($USD, Historical rate)</t>
  </si>
  <si>
    <t>Finance Div. Other Curr. Assets [Latest Annual] ($USDmm, Historical rate)</t>
  </si>
  <si>
    <t>Other Current Assets [Latest Annual] ($USDmm, Historical rate)</t>
  </si>
  <si>
    <t>Other Current Assets, Total [Latest Annual] ($USDmm, Historical rate)</t>
  </si>
  <si>
    <t>Loans Held For Sale [Latest Annual] ($USD, Historical rate)</t>
  </si>
  <si>
    <t>Restricted Cash [Latest Annual] ($USDmm, Historical rate)</t>
  </si>
  <si>
    <t>Gross Property, Plant &amp; Equipment [Latest Annual] ($USDmm, Historical rate)</t>
  </si>
  <si>
    <t>Accumulated Depreciation [Latest Annual] ($USDmm, Historical rate)</t>
  </si>
  <si>
    <t>Long-term Investments [Latest Annual] ($USDmm, Historical rate)</t>
  </si>
  <si>
    <t>Goodwill [Latest Annual] ($USDmm, Historical rate)</t>
  </si>
  <si>
    <t>Other Intangibles [Latest Annual] ($USDmm, Historical rate)</t>
  </si>
  <si>
    <t>Finance Div. Other LT Assets [Latest Annual] ($USDmm, Historical rate)</t>
  </si>
  <si>
    <t>Other Assets, Total [Latest Annual] ($USDmm, Historical rate)</t>
  </si>
  <si>
    <t>Accounts Payable [Latest Annual] ($USDmm, Historical rate)</t>
  </si>
  <si>
    <t>Accrued Exp. [Latest Annual] ($USDmm, Historical rate)</t>
  </si>
  <si>
    <t>Long-Term Debt [Latest Annual] ($USDmm, Historical rate)</t>
  </si>
  <si>
    <t>Capital Leases [Latest Annual] ($USDmm, Historical rate)</t>
  </si>
  <si>
    <t>Common Stock [Latest Annual] ($USD, Historical rate)</t>
  </si>
  <si>
    <t>Common Stock &amp; APIC [Latest Annual] ($USDmm, Historical rate)</t>
  </si>
  <si>
    <t>Additional Paid In Capital [Latest Annual] ($USDmm, Historical rate)</t>
  </si>
  <si>
    <t>Retained Earnings [Latest Annual] ($USDmm, Historical rate)</t>
  </si>
  <si>
    <t>Treasury Stock [Latest Annual] ($USDmm, Historical rate)</t>
  </si>
  <si>
    <t>Total Shares Out. on Filing Date [Latest Annual] (mm)</t>
  </si>
  <si>
    <t>Tangible Book Value [Latest Annual] ($USDmm, Historical rate)</t>
  </si>
  <si>
    <t>Total Intangibles [Latest Annual] ($USD, Historical rate)</t>
  </si>
  <si>
    <t>Total Capital [Latest Annual] ($USDmm, Historical rate)</t>
  </si>
  <si>
    <t>Working Capital [Latest Quarter] ($USD, Historical rate)</t>
  </si>
  <si>
    <t>LIFO Reserve [Latest Annual] ($USD, Historical rate)</t>
  </si>
  <si>
    <t>Total Employees [Latest Annual]</t>
  </si>
  <si>
    <t>Equity Method Investments [Latest Annual] ($USDmm, Historical rate)</t>
  </si>
  <si>
    <t>Full Time Employees [Latest Annual]</t>
  </si>
  <si>
    <t>Work in Progress Inventory [Latest Annual] ($USD, Historical rate)</t>
  </si>
  <si>
    <t>Construction in Progress [Latest Annual] ($USDmm, Historical rate)</t>
  </si>
  <si>
    <t>Debt Equivalent Oper. Leases [Latest Annual] ($USDmm, Historical rate)</t>
  </si>
  <si>
    <t>Cost of Borrowing [Latest Annual] (%)</t>
  </si>
  <si>
    <t>Other Non-Cash Items, Total [LTM] ($USDmm, Historical rate)</t>
  </si>
  <si>
    <t>(Gain) Loss On Sale Of Invest. [LTM] ($USDmm, Historical rate)</t>
  </si>
  <si>
    <t>Net Cash From Discontinued Ops. [LTM] ($USDmm, Historical rate)</t>
  </si>
  <si>
    <t>Other Operating Activities [LTM] ($USDmm, Historical rate)</t>
  </si>
  <si>
    <t>Total Debt Issued [LTM] ($USDmm, Historical rate)</t>
  </si>
  <si>
    <t>Total Debt Repaid [LTM] ($USDmm, Historical rate)</t>
  </si>
  <si>
    <t>Net Change in Cash [LTM] ($USDmm, Historical rate)</t>
  </si>
  <si>
    <t>Maintenance CAPEX [LTM] ($USDmm, Historical rate)</t>
  </si>
  <si>
    <t>Total Term Loans [Latest Quarter] ($USDmm, Historical rate)</t>
  </si>
  <si>
    <t>Total Capital Leases [Latest Quarter] ($USDmm, Historical rate)</t>
  </si>
  <si>
    <t>Total Trust Preferred [Latest Quarter] ($USDmm, Historical rate)</t>
  </si>
  <si>
    <t>Total Principal Due [Latest Quarter] ($USDmm, Historical rate)</t>
  </si>
  <si>
    <t>Total Bank Debt [Latest Quarter] ($USDmm, Historical rate)</t>
  </si>
  <si>
    <t>Underwriting Profit (Loss) [Latest Annual] ($USDmm, Historical rate)</t>
  </si>
  <si>
    <t>Casino Operations Gross Profit [Latest Quarter] ($USD, Historical rate)</t>
  </si>
  <si>
    <t>Casino Operations Gross Profit [Latest Annual] ($USD, Historical rate)</t>
  </si>
  <si>
    <t>Free Cash Flow Actual - Capital IQ [FY] ($USDmm, Historical rate)</t>
  </si>
  <si>
    <t>Geographic Segments (Screen by Sum): Revenue ($USDmm, Historical rate) [LTM]</t>
  </si>
  <si>
    <t>Copper - Actual Production ('000s of T) [Latest Annual]</t>
  </si>
  <si>
    <t>Total Average Daily Production - # of Estimates - Capital IQ [FY]</t>
  </si>
  <si>
    <t>Total Average Daily Production - Capital IQ [FY] (MMbbls)</t>
  </si>
  <si>
    <t>DPS - Capital IQ [FY] ($USD, Historical rate)</t>
  </si>
  <si>
    <t>FFO [LTM] ($USD, Historical rate)</t>
  </si>
  <si>
    <t>ROA - Capital IQ [FY] (%)</t>
  </si>
  <si>
    <t>Adjusted FFO (REIT) - Capital IQ [NTM] ($USDmm, Historical rate)</t>
  </si>
  <si>
    <t>Net Income (Excl. Excep) - Capital IQ [FY] ($USDmm, Historical rate)</t>
  </si>
  <si>
    <t>Total Same Store Sales [CY 2015] ($USDmm, Historical rate)</t>
  </si>
  <si>
    <t>Total Same Store Sales [Latest Quarter] ($USDmm, Historical rate)</t>
  </si>
  <si>
    <t>BSE:530965</t>
  </si>
  <si>
    <t>-</t>
  </si>
  <si>
    <t>NSEI:BPCL</t>
  </si>
  <si>
    <t>Screening Aggregates</t>
  </si>
  <si>
    <t>Company Screening Aggregates</t>
  </si>
  <si>
    <t xml:space="preserve"> </t>
  </si>
  <si>
    <t>Total</t>
  </si>
  <si>
    <t>N/A</t>
  </si>
  <si>
    <t>Average</t>
  </si>
  <si>
    <t>Minimum</t>
  </si>
  <si>
    <t>Maximum</t>
  </si>
  <si>
    <t>Standard Deviation</t>
  </si>
  <si>
    <t>Market Cap. Weighted Avg.</t>
  </si>
  <si>
    <t>Screening Criteria</t>
  </si>
  <si>
    <r>
      <t xml:space="preserve">1) </t>
    </r>
    <r>
      <rPr>
        <b/>
        <sz val="8"/>
        <color indexed="8"/>
        <rFont val="Arial"/>
        <family val="2"/>
      </rPr>
      <t xml:space="preserve">Geographic Locations: </t>
    </r>
    <r>
      <rPr>
        <sz val="8"/>
        <color indexed="8"/>
        <rFont val="Arial"/>
        <family val="2"/>
      </rPr>
      <t>India  (Primary)</t>
    </r>
  </si>
  <si>
    <t>Date</t>
  </si>
  <si>
    <t>Currency</t>
  </si>
  <si>
    <t>USD</t>
  </si>
  <si>
    <t>Currency Conv.</t>
  </si>
  <si>
    <t>Historical</t>
  </si>
  <si>
    <t>&lt;------- Drop-down</t>
  </si>
  <si>
    <t>GEOGRAPHIC SEGMENTS</t>
  </si>
  <si>
    <t>Input Hist. Year</t>
  </si>
  <si>
    <t>Bharat Petroleum Corporation Limited (NSEI:BPCL)</t>
  </si>
  <si>
    <t>India</t>
  </si>
  <si>
    <t>India :27,395.2(96.24%)</t>
  </si>
  <si>
    <t>; Exports ;1,069.8(3.76%)</t>
  </si>
  <si>
    <t/>
  </si>
  <si>
    <t>India :27,395.2(96.24%); Exports ;1,069.8(3.76%)</t>
  </si>
  <si>
    <t>Hindustan Petroleum Corporation Limited (BSE:500104)</t>
  </si>
  <si>
    <t>SK Innovation Co., Ltd. (KOSE:A096770)</t>
  </si>
  <si>
    <t>South Korea</t>
  </si>
  <si>
    <t>Oil and Natural Gas Corporation Limited (NSEI:ONGC)</t>
  </si>
  <si>
    <t>Reliance Industries Limited (NSEI:RELIANCE)</t>
  </si>
  <si>
    <t>India :28,210.2(100.%)</t>
  </si>
  <si>
    <t>; Europe</t>
  </si>
  <si>
    <t>; Others</t>
  </si>
  <si>
    <t>; Corporate</t>
  </si>
  <si>
    <t>India :17,815.8(89.78%)</t>
  </si>
  <si>
    <t>; Outside India ;1,875.2(9.45%)</t>
  </si>
  <si>
    <t>; Corporate ;153.2(.77%)</t>
  </si>
  <si>
    <t>India :19,908.3(44.56%)</t>
  </si>
  <si>
    <t>; Exports ;24,767.9(55.44%)</t>
  </si>
  <si>
    <t>India :17,815.8(89.78%); Outside India ;1,875.2(9.45%); Corporate ;153.2(.77%)</t>
  </si>
  <si>
    <t>India :19,908.3(44.56%); Exports ;24,767.9(55.44%)</t>
  </si>
  <si>
    <t>; Asia</t>
  </si>
  <si>
    <t>South Korea; Asia; Europe; Others; Corporate</t>
  </si>
  <si>
    <t>Mumbai</t>
  </si>
  <si>
    <t>Seoul</t>
  </si>
  <si>
    <t>Dehradun</t>
  </si>
  <si>
    <t>City of headquarter of the company</t>
  </si>
</sst>
</file>

<file path=xl/styles.xml><?xml version="1.0" encoding="utf-8"?>
<styleSheet xmlns="http://schemas.openxmlformats.org/spreadsheetml/2006/main">
  <numFmts count="8">
    <numFmt numFmtId="164" formatCode="_(* #,##0.0_);_(* \(#,##0.0\)_)\ ;_(* 0_)"/>
    <numFmt numFmtId="165" formatCode="_(* #,##0.0#_);_(* \(#,##0.0#\)_)\ ;_(* 0_)"/>
    <numFmt numFmtId="166" formatCode="_(* #,##0.0##_);_(* \(#,##0.0##\)_)\ ;_(* 0_)"/>
    <numFmt numFmtId="167" formatCode="_(\ #,##0.0#_);_(\(\ #,##0.0#\)_);_(\ &quot; - &quot;_)"/>
    <numFmt numFmtId="168" formatCode="#,##0.0_);\(#,##0.0\)"/>
    <numFmt numFmtId="169" formatCode="#,##0.000_);\(#,##0.000\)"/>
    <numFmt numFmtId="170" formatCode="0.00\x"/>
    <numFmt numFmtId="171" formatCode="0.0%"/>
  </numFmts>
  <fonts count="22">
    <font>
      <sz val="10"/>
      <name val="Arial"/>
    </font>
    <font>
      <sz val="8"/>
      <name val="Arial"/>
      <family val="2"/>
    </font>
    <font>
      <b/>
      <sz val="13"/>
      <color indexed="8"/>
      <name val="Verdana"/>
      <family val="2"/>
    </font>
    <font>
      <b/>
      <sz val="12"/>
      <color indexed="8"/>
      <name val="Verdana"/>
      <family val="2"/>
    </font>
    <font>
      <b/>
      <sz val="10"/>
      <color indexed="9"/>
      <name val="Arial"/>
      <family val="2"/>
    </font>
    <font>
      <b/>
      <u val="singleAccounting"/>
      <sz val="8"/>
      <color indexed="8"/>
      <name val="Verdana"/>
      <family val="2"/>
    </font>
    <font>
      <b/>
      <sz val="8"/>
      <color indexed="9"/>
      <name val="Verdana"/>
      <family val="2"/>
    </font>
    <font>
      <b/>
      <u val="singleAccounting"/>
      <sz val="8"/>
      <color indexed="8"/>
      <name val="Arial"/>
      <family val="2"/>
    </font>
    <font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vertAlign val="sub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1"/>
      <color indexed="9"/>
      <name val="Symbol"/>
      <family val="1"/>
      <charset val="2"/>
    </font>
    <font>
      <sz val="10"/>
      <color indexed="8"/>
      <name val="Arial"/>
      <family val="2"/>
    </font>
    <font>
      <b/>
      <sz val="8"/>
      <color indexed="8"/>
      <name val="Verdana"/>
      <family val="2"/>
    </font>
    <font>
      <b/>
      <sz val="8"/>
      <color rgb="FF0000FF"/>
      <name val="Arial"/>
      <family val="2"/>
    </font>
    <font>
      <b/>
      <sz val="8"/>
      <name val="Arial"/>
      <family val="2"/>
    </font>
    <font>
      <sz val="8"/>
      <color rgb="FF006600"/>
      <name val="Arial"/>
      <family val="2"/>
    </font>
    <font>
      <b/>
      <i/>
      <sz val="8"/>
      <color rgb="FFFF0000"/>
      <name val="Arial"/>
      <family val="2"/>
    </font>
    <font>
      <b/>
      <sz val="16"/>
      <color rgb="FF0000FF"/>
      <name val="Arial"/>
      <family val="2"/>
    </font>
    <font>
      <b/>
      <sz val="8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2" tint="-0.24994659260841701"/>
      </bottom>
      <diagonal/>
    </border>
  </borders>
  <cellStyleXfs count="16">
    <xf numFmtId="0" fontId="0" fillId="0" borderId="0"/>
    <xf numFmtId="0" fontId="2" fillId="0" borderId="0" applyAlignment="0"/>
    <xf numFmtId="0" fontId="3" fillId="0" borderId="0" applyAlignment="0"/>
    <xf numFmtId="0" fontId="4" fillId="2" borderId="0" applyAlignment="0"/>
    <xf numFmtId="0" fontId="5" fillId="3" borderId="0" applyAlignment="0"/>
    <xf numFmtId="0" fontId="6" fillId="4" borderId="0" applyAlignment="0"/>
    <xf numFmtId="0" fontId="7" fillId="5" borderId="0" applyAlignment="0"/>
    <xf numFmtId="0" fontId="8" fillId="0" borderId="0" applyAlignment="0"/>
    <xf numFmtId="0" fontId="9" fillId="0" borderId="0" applyAlignment="0"/>
    <xf numFmtId="0" fontId="10" fillId="0" borderId="0" applyAlignment="0"/>
    <xf numFmtId="0" fontId="11" fillId="0" borderId="0" applyAlignment="0"/>
    <xf numFmtId="0" fontId="12" fillId="0" borderId="0" applyAlignment="0"/>
    <xf numFmtId="0" fontId="11" fillId="0" borderId="0" applyAlignment="0">
      <alignment wrapText="1"/>
    </xf>
    <xf numFmtId="0" fontId="13" fillId="0" borderId="0" applyAlignment="0"/>
    <xf numFmtId="0" fontId="14" fillId="0" borderId="0" applyAlignment="0"/>
    <xf numFmtId="0" fontId="15" fillId="0" borderId="0" applyAlignment="0"/>
  </cellStyleXfs>
  <cellXfs count="40">
    <xf numFmtId="0" fontId="1" fillId="0" borderId="0" xfId="0" applyFont="1" applyAlignment="1"/>
    <xf numFmtId="0" fontId="2" fillId="0" borderId="0" xfId="0" applyNumberFormat="1" applyFont="1" applyAlignment="1"/>
    <xf numFmtId="0" fontId="8" fillId="0" borderId="0" xfId="7" applyAlignment="1">
      <alignment horizontal="left" vertical="top" wrapText="1"/>
    </xf>
    <xf numFmtId="0" fontId="7" fillId="5" borderId="0" xfId="6" applyFont="1" applyAlignment="1">
      <alignment horizontal="left" wrapText="1"/>
    </xf>
    <xf numFmtId="49" fontId="6" fillId="4" borderId="0" xfId="0" applyNumberFormat="1" applyFont="1" applyFill="1" applyAlignment="1">
      <alignment horizontal="left"/>
    </xf>
    <xf numFmtId="0" fontId="6" fillId="4" borderId="0" xfId="0" applyFont="1" applyFill="1" applyAlignment="1">
      <alignment horizontal="left"/>
    </xf>
    <xf numFmtId="0" fontId="7" fillId="5" borderId="0" xfId="0" applyNumberFormat="1" applyFont="1" applyFill="1" applyAlignment="1">
      <alignment horizontal="center" wrapText="1"/>
    </xf>
    <xf numFmtId="0" fontId="11" fillId="0" borderId="0" xfId="0" applyNumberFormat="1" applyFont="1" applyAlignment="1"/>
    <xf numFmtId="167" fontId="8" fillId="0" borderId="0" xfId="0" applyNumberFormat="1" applyFont="1" applyAlignment="1">
      <alignment horizontal="right"/>
    </xf>
    <xf numFmtId="0" fontId="8" fillId="0" borderId="0" xfId="0" applyNumberFormat="1" applyFont="1" applyAlignment="1">
      <alignment horizontal="right"/>
    </xf>
    <xf numFmtId="0" fontId="7" fillId="5" borderId="0" xfId="0" applyNumberFormat="1" applyFont="1" applyFill="1" applyAlignment="1"/>
    <xf numFmtId="49" fontId="8" fillId="0" borderId="0" xfId="0" applyNumberFormat="1" applyFont="1" applyAlignment="1">
      <alignment vertical="top"/>
    </xf>
    <xf numFmtId="0" fontId="13" fillId="0" borderId="0" xfId="13" applyFont="1" applyAlignment="1"/>
    <xf numFmtId="0" fontId="7" fillId="5" borderId="0" xfId="6" applyFont="1" applyAlignment="1">
      <alignment horizontal="center" wrapText="1"/>
    </xf>
    <xf numFmtId="0" fontId="17" fillId="0" borderId="1" xfId="0" applyFont="1" applyBorder="1" applyAlignment="1">
      <alignment horizontal="center"/>
    </xf>
    <xf numFmtId="14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0" xfId="7" applyFont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6" fontId="1" fillId="0" borderId="0" xfId="0" applyNumberFormat="1" applyFont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8" fillId="0" borderId="3" xfId="7" applyFont="1" applyBorder="1" applyAlignment="1">
      <alignment horizontal="left" vertical="center" wrapText="1"/>
    </xf>
    <xf numFmtId="0" fontId="18" fillId="0" borderId="3" xfId="7" applyFont="1" applyBorder="1" applyAlignment="1">
      <alignment horizontal="center" vertical="center" wrapText="1"/>
    </xf>
    <xf numFmtId="168" fontId="18" fillId="0" borderId="3" xfId="0" applyNumberFormat="1" applyFont="1" applyBorder="1" applyAlignment="1">
      <alignment horizontal="center" vertical="center" wrapText="1"/>
    </xf>
    <xf numFmtId="169" fontId="18" fillId="0" borderId="3" xfId="0" applyNumberFormat="1" applyFont="1" applyBorder="1" applyAlignment="1">
      <alignment horizontal="center" vertical="center" wrapText="1"/>
    </xf>
    <xf numFmtId="14" fontId="18" fillId="0" borderId="3" xfId="0" applyNumberFormat="1" applyFont="1" applyBorder="1" applyAlignment="1">
      <alignment horizontal="center" vertical="center" wrapText="1"/>
    </xf>
    <xf numFmtId="10" fontId="18" fillId="0" borderId="3" xfId="0" applyNumberFormat="1" applyFont="1" applyBorder="1" applyAlignment="1">
      <alignment horizontal="center" vertical="center" wrapText="1"/>
    </xf>
    <xf numFmtId="170" fontId="18" fillId="0" borderId="3" xfId="0" applyNumberFormat="1" applyFont="1" applyBorder="1" applyAlignment="1">
      <alignment horizontal="center" vertical="center" wrapText="1"/>
    </xf>
    <xf numFmtId="39" fontId="18" fillId="0" borderId="3" xfId="0" applyNumberFormat="1" applyFont="1" applyBorder="1" applyAlignment="1">
      <alignment horizontal="center" vertical="center" wrapText="1"/>
    </xf>
    <xf numFmtId="37" fontId="18" fillId="0" borderId="3" xfId="0" applyNumberFormat="1" applyFont="1" applyBorder="1" applyAlignment="1">
      <alignment horizontal="center" vertical="center" wrapText="1"/>
    </xf>
    <xf numFmtId="171" fontId="18" fillId="0" borderId="3" xfId="0" applyNumberFormat="1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17" fillId="0" borderId="2" xfId="0" applyFont="1" applyBorder="1" applyAlignment="1">
      <alignment horizontal="center"/>
    </xf>
  </cellXfs>
  <cellStyles count="16">
    <cellStyle name="ChartingText" xfId="14"/>
    <cellStyle name="CHPTop" xfId="15"/>
    <cellStyle name="ColumnHeaderNormal" xfId="6"/>
    <cellStyle name="Invisible" xfId="13"/>
    <cellStyle name="NewColumnHeaderNormal" xfId="4"/>
    <cellStyle name="NewSectionHeaderNormal" xfId="3"/>
    <cellStyle name="NewTitleNormal" xfId="2"/>
    <cellStyle name="Normal" xfId="0" builtinId="0"/>
    <cellStyle name="SectionHeaderNormal" xfId="5"/>
    <cellStyle name="SubScript" xfId="9"/>
    <cellStyle name="SuperScript" xfId="8"/>
    <cellStyle name="TextBold" xfId="10"/>
    <cellStyle name="TextItalic" xfId="11"/>
    <cellStyle name="TextNormal" xfId="7"/>
    <cellStyle name="TitleNormal" xfId="1"/>
    <cellStyle name="Total" xfId="12" builtinId="25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FA4040"/>
      <rgbColor rgb="00FFFFEB"/>
      <rgbColor rgb="00EEEEEE"/>
      <rgbColor rgb="00F0F0DC"/>
      <rgbColor rgb="00993366"/>
      <rgbColor rgb="00F5F5E1"/>
      <rgbColor rgb="00004080"/>
    </indexedColors>
    <mruColors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0</xdr:row>
      <xdr:rowOff>57150</xdr:rowOff>
    </xdr:from>
    <xdr:to>
      <xdr:col>0</xdr:col>
      <xdr:colOff>1114889</xdr:colOff>
      <xdr:row>3</xdr:row>
      <xdr:rowOff>76200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4" y="57150"/>
          <a:ext cx="1048215" cy="44767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914400</xdr:colOff>
      <xdr:row>2</xdr:row>
      <xdr:rowOff>104775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914400" cy="390525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914400</xdr:colOff>
      <xdr:row>2</xdr:row>
      <xdr:rowOff>104775</xdr:rowOff>
    </xdr:to>
    <xdr:pic>
      <xdr:nvPicPr>
        <xdr:cNvPr id="512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914400" cy="3905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  <pageSetUpPr autoPageBreaks="0"/>
  </sheetPr>
  <dimension ref="A1:GO58"/>
  <sheetViews>
    <sheetView showGridLines="0" tabSelected="1" zoomScaleNormal="100" workbookViewId="0"/>
  </sheetViews>
  <sheetFormatPr defaultRowHeight="11.25"/>
  <cols>
    <col min="1" max="1" width="17.42578125" customWidth="1"/>
    <col min="2" max="2" width="31.42578125" customWidth="1"/>
    <col min="3" max="3" width="25.140625" customWidth="1"/>
    <col min="4" max="179" width="25.85546875" customWidth="1"/>
    <col min="180" max="180" width="40.85546875" customWidth="1"/>
    <col min="181" max="188" width="25.85546875" customWidth="1"/>
    <col min="189" max="189" width="31.42578125" customWidth="1"/>
    <col min="190" max="190" width="25.85546875" customWidth="1"/>
    <col min="191" max="191" width="29.7109375" customWidth="1"/>
    <col min="193" max="193" width="25.7109375" bestFit="1" customWidth="1"/>
    <col min="194" max="194" width="38.5703125" bestFit="1" customWidth="1"/>
    <col min="195" max="195" width="31.28515625" bestFit="1" customWidth="1"/>
    <col min="196" max="196" width="23.7109375" bestFit="1" customWidth="1"/>
    <col min="197" max="197" width="37.42578125" bestFit="1" customWidth="1"/>
  </cols>
  <sheetData>
    <row r="1" spans="1:197">
      <c r="G1" s="38" t="str">
        <f>LEFT(D4,1)</f>
        <v>H</v>
      </c>
      <c r="I1" s="38">
        <f>IQ_LTM</f>
        <v>2000</v>
      </c>
      <c r="O1" s="38">
        <f>IQ_FY</f>
        <v>1000</v>
      </c>
      <c r="U1" s="38">
        <f>IQ_LTM</f>
        <v>2000</v>
      </c>
      <c r="AZ1" s="38">
        <f>IQ_LTM</f>
        <v>2000</v>
      </c>
      <c r="BB1" s="38">
        <f>IQ_NTM</f>
        <v>6000</v>
      </c>
      <c r="BL1" s="38">
        <f>IQ_FQ</f>
        <v>500</v>
      </c>
      <c r="DO1" s="38">
        <f>IQ_FY</f>
        <v>1000</v>
      </c>
      <c r="EU1" s="38">
        <f>BL1</f>
        <v>500</v>
      </c>
      <c r="GE1" s="38">
        <f>IQ_NTM</f>
        <v>6000</v>
      </c>
      <c r="GG1" s="38" t="str">
        <f>"CY"&amp;$D$5</f>
        <v>CY2015</v>
      </c>
      <c r="GH1" s="38">
        <f>IQ_FQ</f>
        <v>500</v>
      </c>
    </row>
    <row r="2" spans="1:197">
      <c r="C2" s="14" t="s">
        <v>203</v>
      </c>
      <c r="D2" s="15">
        <f>_xll.ciqfunctions.udf.CIQGETDATE(IQ_TODAY)</f>
        <v>42775</v>
      </c>
      <c r="V2" s="23"/>
      <c r="W2" s="23"/>
      <c r="BD2" s="24"/>
      <c r="BE2" s="24"/>
      <c r="BF2" s="24"/>
      <c r="EX2" s="19"/>
    </row>
    <row r="3" spans="1:197">
      <c r="C3" s="14" t="s">
        <v>204</v>
      </c>
      <c r="D3" s="16" t="s">
        <v>205</v>
      </c>
      <c r="V3" s="23"/>
      <c r="W3" s="23"/>
      <c r="X3" s="19"/>
      <c r="Y3" s="19"/>
      <c r="Z3" s="19"/>
      <c r="AA3" s="19"/>
      <c r="BB3" s="20"/>
      <c r="BS3" s="20"/>
      <c r="DE3" s="20"/>
      <c r="DF3" s="20"/>
      <c r="EC3" s="20"/>
      <c r="EX3" s="21"/>
      <c r="GF3" s="22"/>
    </row>
    <row r="4" spans="1:197">
      <c r="C4" s="14" t="s">
        <v>206</v>
      </c>
      <c r="D4" s="16" t="s">
        <v>207</v>
      </c>
      <c r="E4" s="17" t="s">
        <v>208</v>
      </c>
      <c r="X4" s="19"/>
      <c r="Y4" s="19"/>
      <c r="Z4" s="19"/>
      <c r="AA4" s="19"/>
      <c r="AX4" s="22"/>
      <c r="BB4" s="20"/>
      <c r="BD4" s="20"/>
      <c r="BE4" s="20"/>
      <c r="BF4" s="20"/>
      <c r="BS4" s="20"/>
      <c r="CQ4" s="20"/>
      <c r="CT4" s="20"/>
      <c r="CU4" s="20"/>
      <c r="CX4" s="20"/>
      <c r="CY4" s="19"/>
      <c r="CZ4" s="19"/>
      <c r="DA4" s="19"/>
      <c r="DB4" s="19"/>
      <c r="DE4" s="20"/>
      <c r="DF4" s="20"/>
      <c r="EC4" s="20"/>
      <c r="ES4" s="20"/>
      <c r="ET4" s="20"/>
      <c r="EU4" s="19"/>
      <c r="EV4" s="19"/>
      <c r="FV4" s="20"/>
      <c r="GB4" s="21"/>
      <c r="GF4" s="22"/>
    </row>
    <row r="5" spans="1:197">
      <c r="C5" s="14" t="s">
        <v>210</v>
      </c>
      <c r="D5" s="16">
        <v>2015</v>
      </c>
      <c r="K5" s="20"/>
      <c r="AX5" s="22"/>
      <c r="BD5" s="20"/>
      <c r="BE5" s="20"/>
      <c r="BF5" s="20"/>
      <c r="CQ5" s="20"/>
      <c r="CT5" s="20"/>
      <c r="CU5" s="20"/>
      <c r="CX5" s="20"/>
      <c r="CY5" s="19"/>
      <c r="CZ5" s="19"/>
      <c r="DA5" s="19"/>
      <c r="DB5" s="19"/>
      <c r="DQ5" s="20"/>
      <c r="DR5" s="19"/>
      <c r="DS5" s="20"/>
      <c r="ES5" s="20"/>
      <c r="ET5" s="20"/>
      <c r="EU5" s="19"/>
      <c r="EV5" s="19"/>
      <c r="FV5" s="20"/>
      <c r="GB5" s="21"/>
    </row>
    <row r="6" spans="1:197" ht="16.5" customHeight="1">
      <c r="A6" s="1" t="s">
        <v>0</v>
      </c>
      <c r="DQ6" s="20"/>
      <c r="DR6" s="20"/>
      <c r="DS6" s="20"/>
    </row>
    <row r="7" spans="1:197">
      <c r="GK7" s="39" t="s">
        <v>209</v>
      </c>
      <c r="GL7" s="39"/>
      <c r="GM7" s="39"/>
      <c r="GN7" s="39"/>
      <c r="GO7" s="39"/>
    </row>
    <row r="8" spans="1:197" ht="40.5">
      <c r="A8" s="13" t="s">
        <v>2</v>
      </c>
      <c r="B8" s="3" t="s">
        <v>1</v>
      </c>
      <c r="C8" s="13" t="s">
        <v>238</v>
      </c>
      <c r="D8" s="13" t="s">
        <v>3</v>
      </c>
      <c r="E8" s="13" t="str">
        <f>"Market Capitalization [My Setting] [Latest] ("&amp;$D$3&amp;"mm, "&amp;$D$4&amp;" rate)"</f>
        <v>Market Capitalization [My Setting] [Latest] (USDmm, Historical rate)</v>
      </c>
      <c r="F8" s="13" t="str">
        <f>"Total Enterprise Value [My Setting] [Latest] ("&amp;$D$3&amp;"mm, "&amp;$D$4&amp;" rate)"</f>
        <v>Total Enterprise Value [My Setting] [Latest] (USDmm, Historical rate)</v>
      </c>
      <c r="G8" s="13" t="str">
        <f>"Implied Market Capitalization [My Setting] [Latest] ("&amp;$D$3&amp;"mm, "&amp;$D$4&amp;" rate)"</f>
        <v>Implied Market Capitalization [My Setting] [Latest] (USDmm, Historical rate)</v>
      </c>
      <c r="H8" s="13" t="str">
        <f>"Total Revenue [LTM] ("&amp;$D$3&amp;"mm, "&amp;$D$4&amp;" rate)"</f>
        <v>Total Revenue [LTM] (USDmm, Historical rate)</v>
      </c>
      <c r="I8" s="13" t="str">
        <f>"Gross Profit [LTM] ("&amp;$D$3&amp;"mm, "&amp;$D$4&amp;" rate)"</f>
        <v>Gross Profit [LTM] (USDmm, Historical rate)</v>
      </c>
      <c r="J8" s="13" t="str">
        <f>"EBITDA [LTM] ("&amp;$D$3&amp;"mm, "&amp;$D$4&amp;" rate)"</f>
        <v>EBITDA [LTM] (USDmm, Historical rate)</v>
      </c>
      <c r="K8" s="13" t="str">
        <f>"EBIT [LTM] ("&amp;$D$3&amp;"mm, "&amp;$D$4&amp;" rate)"</f>
        <v>EBIT [LTM] (USDmm, Historical rate)</v>
      </c>
      <c r="L8" s="13" t="str">
        <f>"Earnings from Cont. Ops. [LTM] ("&amp;$D$3&amp;"mm, "&amp;$D$4&amp;" rate)"</f>
        <v>Earnings from Cont. Ops. [LTM] (USDmm, Historical rate)</v>
      </c>
      <c r="M8" s="13" t="str">
        <f>"Net Income [LTM] ("&amp;$D$3&amp;"mm, "&amp;$D$4&amp;" rate)"</f>
        <v>Net Income [LTM] (USDmm, Historical rate)</v>
      </c>
      <c r="N8" s="13" t="str">
        <f>"Cash And Equivalents [Latest Annual] "&amp;"("&amp;$D$3&amp;"mm, "&amp;$D$4&amp;" rate)"</f>
        <v>Cash And Equivalents [Latest Annual] (USDmm, Historical rate)</v>
      </c>
      <c r="O8" s="13" t="str">
        <f>"Total Cash &amp; ST Investments [Latest Annual] "&amp;"("&amp;$D$3&amp;"mm, "&amp;$D$4&amp;" rate)"</f>
        <v>Total Cash &amp; ST Investments [Latest Annual] (USDmm, Historical rate)</v>
      </c>
      <c r="P8" s="13" t="str">
        <f>"Net Property, Plant &amp; Equipment [Latest Annual] "&amp;"("&amp;$D$3&amp;"mm, "&amp;$D$4&amp;" rate)"</f>
        <v>Net Property, Plant &amp; Equipment [Latest Annual] (USDmm, Historical rate)</v>
      </c>
      <c r="Q8" s="13" t="str">
        <f>"Total Assets [Latest Annual] "&amp;"("&amp;$D$3&amp;"mm, "&amp;$D$4&amp;" rate)"</f>
        <v>Total Assets [Latest Annual] (USDmm, Historical rate)</v>
      </c>
      <c r="R8" s="13" t="str">
        <f>"Total Debt [Latest Annual] "&amp;"("&amp;$D$3&amp;"mm, "&amp;$D$4&amp;" rate)"</f>
        <v>Total Debt [Latest Annual] (USDmm, Historical rate)</v>
      </c>
      <c r="S8" s="13" t="str">
        <f>"Total Equity [Latest Annual] "&amp;"("&amp;$D$3&amp;"mm, "&amp;$D$4&amp;" rate)"</f>
        <v>Total Equity [Latest Annual] (USDmm, Historical rate)</v>
      </c>
      <c r="T8" s="13" t="str">
        <f>"Cash from Ops. [LTM] "&amp;"("&amp;$D$3&amp;"mm, "&amp;$D$4&amp;" rate)"</f>
        <v>Cash from Ops. [LTM] (USDmm, Historical rate)</v>
      </c>
      <c r="U8" s="13" t="str">
        <f>"Capital Expenditure [LTM] "&amp;"("&amp;$D$3&amp;"mm, "&amp;$D$4&amp;" rate)"</f>
        <v>Capital Expenditure [LTM] (USDmm, Historical rate)</v>
      </c>
      <c r="V8" s="13" t="str">
        <f>"Dividends per share [LTM] "&amp;"("&amp;$D$3&amp;"mm, "&amp;$D$4&amp;" rate)"</f>
        <v>Dividends per share [LTM] (USDmm, Historical rate)</v>
      </c>
      <c r="W8" s="13" t="s">
        <v>22</v>
      </c>
      <c r="X8" s="13" t="s">
        <v>23</v>
      </c>
      <c r="Y8" s="13" t="s">
        <v>24</v>
      </c>
      <c r="Z8" s="13" t="s">
        <v>25</v>
      </c>
      <c r="AA8" s="13" t="s">
        <v>26</v>
      </c>
      <c r="AB8" s="13" t="s">
        <v>27</v>
      </c>
      <c r="AC8" s="13" t="str">
        <f>"Revenues [LTM] ("&amp;$D$3&amp;"mm, "&amp;$D$4&amp;" rate)"</f>
        <v>Revenues [LTM] (USDmm, Historical rate)</v>
      </c>
      <c r="AD8" s="13" t="str">
        <f>"Other Revenues, Total [LTM] ("&amp;$D$3&amp;"mm, "&amp;$D$4&amp;" rate)"</f>
        <v>Other Revenues, Total [LTM] (USDmm, Historical rate)</v>
      </c>
      <c r="AE8" s="13" t="str">
        <f>"Gain(Loss) on Sale Of Invest.(Rev) [LTM] ("&amp;$D$3&amp;"mm, "&amp;$D$4&amp;" rate)"</f>
        <v>Gain(Loss) on Sale Of Invest.(Rev) [LTM] (USDmm, Historical rate)</v>
      </c>
      <c r="AF8" s="13" t="str">
        <f>"Interest And Invest. Income (Rev) [LTM] ("&amp;$D$3&amp;"mm, "&amp;$D$4&amp;" rate)"</f>
        <v>Interest And Invest. Income (Rev) [LTM] (USDmm, Historical rate)</v>
      </c>
      <c r="AG8" s="13" t="str">
        <f>"Other Revenues [LTM] ("&amp;$D$3&amp;"mm, "&amp;$D$4&amp;" rate)"</f>
        <v>Other Revenues [LTM] (USDmm, Historical rate)</v>
      </c>
      <c r="AH8" s="13" t="str">
        <f>"Cost Of Goods Sold [LTM] ("&amp;$D$3&amp;"mm, "&amp;$D$4&amp;" rate)"</f>
        <v>Cost Of Goods Sold [LTM] (USDmm, Historical rate)</v>
      </c>
      <c r="AI8" s="13" t="str">
        <f>"Finance Div. Operating Exp. [LTM] ("&amp;$D$3&amp;"mm, "&amp;$D$4&amp;" rate)"</f>
        <v>Finance Div. Operating Exp. [LTM] (USDmm, Historical rate)</v>
      </c>
      <c r="AJ8" s="13" t="str">
        <f>"Insurance Div. Operating Exp. [LTM] ("&amp;$D$3&amp;"mm, "&amp;$D$4&amp;" rate)"</f>
        <v>Insurance Div. Operating Exp. [LTM] (USDmm, Historical rate)</v>
      </c>
      <c r="AK8" s="13" t="str">
        <f>"Interest Expense - Finance Division [LTM] ("&amp;$D$3&amp;"mm, "&amp;$D$4&amp;" rate)"</f>
        <v>Interest Expense - Finance Division [LTM] (USDmm, Historical rate)</v>
      </c>
      <c r="AL8" s="13" t="str">
        <f>"SG&amp;A Exp., Total [LTM] ("&amp;$D$3&amp;"mm, "&amp;$D$4&amp;" rate)"</f>
        <v>SG&amp;A Exp., Total [LTM] (USDmm, Historical rate)</v>
      </c>
      <c r="AM8" s="13" t="str">
        <f>"Selling General &amp; Admin Exp. [LTM] ("&amp;$D$3&amp;"mm, "&amp;$D$4&amp;" rate)"</f>
        <v>Selling General &amp; Admin Exp. [LTM] (USDmm, Historical rate)</v>
      </c>
      <c r="AN8" s="13" t="str">
        <f>"Total Operating Expenses [LTM] ("&amp;$D$3&amp;"mm, "&amp;$D$4&amp;" rate)"</f>
        <v>Total Operating Expenses [LTM] (USDmm, Historical rate)</v>
      </c>
      <c r="AO8" s="13" t="str">
        <f>"Operating Income [LTM] ("&amp;$D$3&amp;"mm, "&amp;$D$4&amp;" rate)"</f>
        <v>Operating Income [LTM] (USDmm, Historical rate)</v>
      </c>
      <c r="AP8" s="13" t="str">
        <f>"Interest Expense [LTM] ("&amp;$D$3&amp;"mm, "&amp;$D$4&amp;" rate)"</f>
        <v>Interest Expense [LTM] (USDmm, Historical rate)</v>
      </c>
      <c r="AQ8" s="13" t="str">
        <f>"Investment Income [LTM] ("&amp;$D$3&amp;"mm, "&amp;$D$4&amp;" rate)"</f>
        <v>Investment Income [LTM] (USDmm, Historical rate)</v>
      </c>
      <c r="AR8" s="13" t="str">
        <f>"Net Interest Exp. [LTM] ("&amp;$D$3&amp;"mm, "&amp;$D$4&amp;" rate)"</f>
        <v>Net Interest Exp. [LTM] (USDmm, Historical rate)</v>
      </c>
      <c r="AS8" s="13" t="str">
        <f>"Other Non-Operating Exp., Total [LTM] ("&amp;$D$3&amp;"mm, "&amp;$D$4&amp;" rate)"</f>
        <v>Other Non-Operating Exp., Total [LTM] (USDmm, Historical rate)</v>
      </c>
      <c r="AT8" s="13" t="str">
        <f>"Income / (Loss) from Affiliates [LTM] ("&amp;$D$3&amp;"mm, "&amp;$D$4&amp;" rate)"</f>
        <v>Income / (Loss) from Affiliates [LTM] (USDmm, Historical rate)</v>
      </c>
      <c r="AU8" s="13" t="str">
        <f>"Currency Exchange Gains (Loss) [LTM] ("&amp;$D$3&amp;"mm, "&amp;$D$4&amp;" rate)"</f>
        <v>Currency Exchange Gains (Loss) [LTM] (USDmm, Historical rate)</v>
      </c>
      <c r="AV8" s="13" t="str">
        <f>"Other Non-Operating Inc. (Exp.) [LTM] ("&amp;$D$3&amp;"mm, "&amp;$D$4&amp;" rate)"</f>
        <v>Other Non-Operating Inc. (Exp.) [LTM] (USDmm, Historical rate)</v>
      </c>
      <c r="AW8" s="13" t="str">
        <f>"EBT Excl Unusual Items [LTM] ("&amp;$D$3&amp;"mm, "&amp;$D$4&amp;" rate)"</f>
        <v>EBT Excl Unusual Items [LTM] (USDmm, Historical rate)</v>
      </c>
      <c r="AX8" s="13" t="str">
        <f>"Stock-Based Comp., COGS [LTM] ("&amp;$D$3&amp;"mm, "&amp;$D$4&amp;" rate)"</f>
        <v>Stock-Based Comp., COGS [LTM] (USDmm, Historical rate)</v>
      </c>
      <c r="AY8" s="13" t="s">
        <v>50</v>
      </c>
      <c r="AZ8" s="13" t="str">
        <f>"SG&amp;A Costs Per Member Per Month [Latest Annual] ("&amp;$D$3&amp;", "&amp;$D$4&amp;" rate)"</f>
        <v>SG&amp;A Costs Per Member Per Month [Latest Annual] (USD, Historical rate)</v>
      </c>
      <c r="BA8" s="13" t="s">
        <v>52</v>
      </c>
      <c r="BB8" s="13" t="s">
        <v>53</v>
      </c>
      <c r="BC8" s="13" t="str">
        <f>"EBITDA - Capital IQ [NTM]  "&amp;"("&amp;$D$3&amp;"mm, "&amp;$D$4&amp;" rate)"</f>
        <v>EBITDA - Capital IQ [NTM]  (USDmm, Historical rate)</v>
      </c>
      <c r="BD8" s="13" t="s">
        <v>55</v>
      </c>
      <c r="BE8" s="13" t="str">
        <f>"Depreciation &amp; Amort., Total [LTM] ("&amp;$D$3&amp;"mm, "&amp;$D$4&amp;" rate)"</f>
        <v>Depreciation &amp; Amort., Total [LTM] (USDmm, Historical rate)</v>
      </c>
      <c r="BF8" s="13" t="str">
        <f>"Depreciation &amp; Amort. [LTM] ("&amp;$D$3&amp;"mm, "&amp;$D$4&amp;" rate)"</f>
        <v>Depreciation &amp; Amort. [LTM] (USDmm, Historical rate)</v>
      </c>
      <c r="BG8" s="13" t="str">
        <f>"Total Current Taxes [Latest Annual] ("&amp;$D$3&amp;"mm, "&amp;$D$4&amp;" rate)"</f>
        <v>Total Current Taxes [Latest Annual] (USDmm, Historical rate)</v>
      </c>
      <c r="BH8" s="13" t="s">
        <v>59</v>
      </c>
      <c r="BI8" s="13" t="str">
        <f>"Total Current Assets [Latest Annual] ("&amp;$D$3&amp;"mm, "&amp;$D$4&amp;" rate)"</f>
        <v>Total Current Assets [Latest Annual] (USDmm, Historical rate)</v>
      </c>
      <c r="BJ8" s="13" t="str">
        <f>"Assets Under Management [Latest Annual] ("&amp;$D$3&amp;"mm, "&amp;$D$4&amp;" rate)"</f>
        <v>Assets Under Management [Latest Annual] (USDmm, Historical rate)</v>
      </c>
      <c r="BK8" s="13" t="str">
        <f>"Total Plan Assets (Pension) [Latest Annual] ("&amp;$D$3&amp;"mm, "&amp;$D$4&amp;" rate)"</f>
        <v>Total Plan Assets (Pension) [Latest Annual] (USDmm, Historical rate)</v>
      </c>
      <c r="BL8" s="13" t="str">
        <f>"Asset Writedown [Latest Annual] ("&amp;$D$3&amp;"mm, "&amp;$D$4&amp;" rate)"</f>
        <v>Asset Writedown [Latest Annual] (USDmm, Historical rate)</v>
      </c>
      <c r="BM8" s="13" t="s">
        <v>64</v>
      </c>
      <c r="BN8" s="13" t="s">
        <v>65</v>
      </c>
      <c r="BO8" s="13" t="str">
        <f>"Assets Under Management - Private Equity [Latest Annual] ("&amp;$D$3&amp;"mm, "&amp;$D$4&amp;" rate)"</f>
        <v>Assets Under Management - Private Equity [Latest Annual] (USDmm, Historical rate)</v>
      </c>
      <c r="BP8" s="13" t="str">
        <f>"Total Assets [Latest Quarter] ("&amp;$D$3&amp;"mm, "&amp;$D$4&amp;" rate)"</f>
        <v>Total Assets [Latest Quarter] (USDmm, Historical rate)</v>
      </c>
      <c r="BQ8" s="13" t="s">
        <v>68</v>
      </c>
      <c r="BR8" s="13" t="str">
        <f>"Trading Asset Securities [Latest Annual] ("&amp;$D$3&amp;"mm, "&amp;$D$4&amp;" rate)"</f>
        <v>Trading Asset Securities [Latest Annual] (USDmm, Historical rate)</v>
      </c>
      <c r="BS8" s="13" t="str">
        <f>"Non Performing Assets [Latest Quarter] ("&amp;$D$3&amp;"mm, "&amp;$D$4&amp;" rate)"</f>
        <v>Non Performing Assets [Latest Quarter] (USDmm, Historical rate)</v>
      </c>
      <c r="BT8" s="13" t="str">
        <f>"Inventory [Latest Annual] ("&amp;$D$3&amp;"mm, "&amp;$D$4&amp;" rate)"</f>
        <v>Inventory [Latest Annual] (USDmm, Historical rate)</v>
      </c>
      <c r="BU8" s="13" t="s">
        <v>72</v>
      </c>
      <c r="BV8" s="13" t="s">
        <v>73</v>
      </c>
      <c r="BW8" s="13" t="str">
        <f>"Finished Goods Inventory [Latest Annual] ("&amp;$D$3&amp;", "&amp;$D$4&amp;" rate)"</f>
        <v>Finished Goods Inventory [Latest Annual] (USD, Historical rate)</v>
      </c>
      <c r="BX8" s="13" t="str">
        <f>"Raw Materials Inventory [Latest Annual] ("&amp;$D$3&amp;", "&amp;$D$4&amp;" rate)"</f>
        <v>Raw Materials Inventory [Latest Annual] (USD, Historical rate)</v>
      </c>
      <c r="BY8" s="13" t="str">
        <f>"Total Current Liabilities [Latest Annual] ("&amp;$D$3&amp;"mm, "&amp;$D$4&amp;" rate)"</f>
        <v>Total Current Liabilities [Latest Annual] (USDmm, Historical rate)</v>
      </c>
      <c r="BZ8" s="13" t="str">
        <f>"Total Liabilities [Latest Annual] ("&amp;$D$3&amp;"mm, "&amp;$D$4&amp;" rate)"</f>
        <v>Total Liabilities [Latest Annual] (USDmm, Historical rate)</v>
      </c>
      <c r="CA8" s="13" t="s">
        <v>78</v>
      </c>
      <c r="CB8" s="13" t="str">
        <f>"Long Term Liabilities (Pension) [Latest Annual] ("&amp;$D$3&amp;"mm, "&amp;$D$4&amp;" rate)"</f>
        <v>Long Term Liabilities (Pension) [Latest Annual] (USDmm, Historical rate)</v>
      </c>
      <c r="CC8" s="13" t="str">
        <f>"Other Non-Current Liabilities [Latest Annual] ("&amp;$D$3&amp;"mm, "&amp;$D$4&amp;" rate)"</f>
        <v>Other Non-Current Liabilities [Latest Annual] (USDmm, Historical rate)</v>
      </c>
      <c r="CD8" s="13" t="str">
        <f>"Total Liabilities And Equity [Latest Annual] ("&amp;$D$3&amp;"mm, "&amp;$D$4&amp;" rate)"</f>
        <v>Total Liabilities And Equity [Latest Annual] (USDmm, Historical rate)</v>
      </c>
      <c r="CE8" s="13" t="str">
        <f>"Current Liabilities (OPEB) [Latest Annual] ("&amp;$D$3&amp;"mm, "&amp;$D$4&amp;" rate)"</f>
        <v>Current Liabilities (OPEB) [Latest Annual] (USDmm, Historical rate)</v>
      </c>
      <c r="CF8" s="13" t="str">
        <f>"Insurance And Annuity Liabilities [Latest Annual] ("&amp;$D$3&amp;"mm, "&amp;$D$4&amp;" rate)"</f>
        <v>Insurance And Annuity Liabilities [Latest Annual] (USDmm, Historical rate)</v>
      </c>
      <c r="CG8" s="13" t="str">
        <f>"Annuity Liabilities [Latest Quarter] ("&amp;$D$3&amp;"mm, "&amp;$D$4&amp;" rate)"</f>
        <v>Annuity Liabilities [Latest Quarter] (USDmm, Historical rate)</v>
      </c>
      <c r="CH8" s="13" t="str">
        <f>"Current Liabilities (OPEB) - Domestic [Latest Annual] ("&amp;$D$3&amp;"mm, "&amp;$D$4&amp;" rate)"</f>
        <v>Current Liabilities (OPEB) - Domestic [Latest Annual] (USDmm, Historical rate)</v>
      </c>
      <c r="CI8" s="13" t="str">
        <f>"Derivative Liabilities - Total Before Netting [LTM] ("&amp;$D$3&amp;"mm, "&amp;$D$4&amp;" rate)"</f>
        <v>Derivative Liabilities - Total Before Netting [LTM] (USDmm, Historical rate)</v>
      </c>
      <c r="CJ8" s="13" t="s">
        <v>87</v>
      </c>
      <c r="CK8" s="13" t="str">
        <f>"In Process R&amp;D Exp. [LTM] ("&amp;$D$3&amp;"mm, "&amp;$D$4&amp;" rate)"</f>
        <v>In Process R&amp;D Exp. [LTM] (USDmm, Historical rate)</v>
      </c>
      <c r="CL8" s="13" t="str">
        <f>"Insurance Settlements [LTM] ("&amp;$D$3&amp;"mm, "&amp;$D$4&amp;" rate)"</f>
        <v>Insurance Settlements [LTM] (USDmm, Historical rate)</v>
      </c>
      <c r="CM8" s="13" t="str">
        <f>"Legal Settlements [LTM] ("&amp;$D$3&amp;"mm, "&amp;$D$4&amp;" rate)"</f>
        <v>Legal Settlements [LTM] (USDmm, Historical rate)</v>
      </c>
      <c r="CN8" s="13" t="str">
        <f>"Earnings of Discontinued Ops. [LTM] ("&amp;$D$3&amp;"mm, "&amp;$D$4&amp;" rate)"</f>
        <v>Earnings of Discontinued Ops. [LTM] (USDmm, Historical rate)</v>
      </c>
      <c r="CO8" s="13" t="str">
        <f>"Net Income to Company [LTM] ("&amp;$D$3&amp;"mm, "&amp;$D$4&amp;" rate)"</f>
        <v>Net Income to Company [LTM] (USDmm, Historical rate)</v>
      </c>
      <c r="CP8" s="13" t="str">
        <f>"Minority Int. in Earnings [LTM] ("&amp;$D$3&amp;"mm, "&amp;$D$4&amp;" rate)"</f>
        <v>Minority Int. in Earnings [LTM] (USDmm, Historical rate)</v>
      </c>
      <c r="CQ8" s="13" t="str">
        <f>"Basic EPS [LTM] ("&amp;$D$3&amp;"mm, "&amp;$D$4&amp;" rate)"</f>
        <v>Basic EPS [LTM] (USDmm, Historical rate)</v>
      </c>
      <c r="CR8" s="13" t="s">
        <v>95</v>
      </c>
      <c r="CS8" s="13" t="s">
        <v>96</v>
      </c>
      <c r="CT8" s="13" t="s">
        <v>97</v>
      </c>
      <c r="CU8" s="13" t="str">
        <f>"EBITA [LTM] ("&amp;$D$3&amp;"mm, "&amp;$D$4&amp;" rate)"</f>
        <v>EBITA [LTM] (USDmm, Historical rate)</v>
      </c>
      <c r="CV8" s="13" t="str">
        <f>"EBITDAR [LTM] ("&amp;$D$3&amp;"mm, "&amp;$D$4&amp;" rate)"</f>
        <v>EBITDAR [LTM] (USDmm, Historical rate)</v>
      </c>
      <c r="CW8" s="13" t="str">
        <f>"EBITDA - CAPEX [LTM] ("&amp;$D$3&amp;"mm, "&amp;$D$4&amp;" rate)"</f>
        <v>EBITDA - CAPEX [LTM] (USDmm, Historical rate)</v>
      </c>
      <c r="CX8" s="13" t="s">
        <v>101</v>
      </c>
      <c r="CY8" s="13" t="str">
        <f>"As-Reported Total Revenue [LTM] ("&amp;$D$3&amp;", "&amp;$D$4&amp;" rate)"</f>
        <v>As-Reported Total Revenue [LTM] (USD, Historical rate)</v>
      </c>
      <c r="CZ8" s="13" t="str">
        <f>"Advertising Expense [LTM] ("&amp;$D$3&amp;"mm, "&amp;$D$4&amp;" rate)"</f>
        <v>Advertising Expense [LTM] (USDmm, Historical rate)</v>
      </c>
      <c r="DA8" s="13" t="str">
        <f>"Marketing Expense [LTM] ("&amp;$D$3&amp;"mm, "&amp;$D$4&amp;" rate)"</f>
        <v>Marketing Expense [LTM] (USDmm, Historical rate)</v>
      </c>
      <c r="DB8" s="13" t="str">
        <f>"Selling and Marketing Expense [LTM] ("&amp;$D$3&amp;"mm, "&amp;$D$4&amp;" rate)"</f>
        <v>Selling and Marketing Expense [LTM] (USDmm, Historical rate)</v>
      </c>
      <c r="DC8" s="13" t="str">
        <f>"General and Administrative Expense [LTM] ("&amp;$D$3&amp;"mm, "&amp;$D$4&amp;" rate)"</f>
        <v>General and Administrative Expense [LTM] (USDmm, Historical rate)</v>
      </c>
      <c r="DD8" s="13" t="str">
        <f>"R&amp;D Exp. [LTM] ("&amp;$D$3&amp;"mm, "&amp;$D$4&amp;" rate)"</f>
        <v>R&amp;D Exp. [LTM] (USDmm, Historical rate)</v>
      </c>
      <c r="DE8" s="13" t="str">
        <f>"Diluted Net Income [LTM] ("&amp;$D$3&amp;"mm, "&amp;$D$4&amp;" rate)"</f>
        <v>Diluted Net Income [LTM] (USDmm, Historical rate)</v>
      </c>
      <c r="DF8" s="13" t="str">
        <f>"Imputed Oper. Lease Interest Exp. [LTM] ("&amp;$D$3&amp;"mm, "&amp;$D$4&amp;" rate)"</f>
        <v>Imputed Oper. Lease Interest Exp. [LTM] (USDmm, Historical rate)</v>
      </c>
      <c r="DG8" s="13" t="str">
        <f>"Imputed Oper. Lease Depreciation [LTM] ("&amp;$D$3&amp;"mm, "&amp;$D$4&amp;" rate)"</f>
        <v>Imputed Oper. Lease Depreciation [LTM] (USDmm, Historical rate)</v>
      </c>
      <c r="DH8" s="13" t="str">
        <f>"Stock-Based Compensation [LTM] ("&amp;$D$3&amp;"mm, "&amp;$D$4&amp;" rate)"</f>
        <v>Stock-Based Compensation [LTM] (USDmm, Historical rate)</v>
      </c>
      <c r="DI8" s="13" t="str">
        <f>"Stock-Based Comp., G&amp;A Exp. [LTM] ("&amp;$D$3&amp;"mm, "&amp;$D$4&amp;" rate)"</f>
        <v>Stock-Based Comp., G&amp;A Exp. [LTM] (USDmm, Historical rate)</v>
      </c>
      <c r="DJ8" s="13" t="str">
        <f>"Stock-Based Comp., R&amp;D Exp. [LTM] ("&amp;$D$3&amp;"mm, "&amp;$D$4&amp;" rate)"</f>
        <v>Stock-Based Comp., R&amp;D Exp. [LTM] (USDmm, Historical rate)</v>
      </c>
      <c r="DK8" s="13" t="str">
        <f>"Stock-Based Comp., S&amp;M Exp. [LTM] ("&amp;$D$3&amp;"mm, "&amp;$D$4&amp;" rate)"</f>
        <v>Stock-Based Comp., S&amp;M Exp. [LTM] (USDmm, Historical rate)</v>
      </c>
      <c r="DL8" s="13" t="str">
        <f>"Stock-Based Comp., Total [LTM] ("&amp;$D$3&amp;"mm, "&amp;$D$4&amp;" rate)"</f>
        <v>Stock-Based Comp., Total [LTM] (USDmm, Historical rate)</v>
      </c>
      <c r="DM8" s="13" t="str">
        <f>"Stock-Based Comp., SG&amp;A Exp. [LTM] ("&amp;$D$3&amp;"mm, "&amp;$D$4&amp;" rate)"</f>
        <v>Stock-Based Comp., SG&amp;A Exp. [LTM] (USDmm, Historical rate)</v>
      </c>
      <c r="DN8" s="13" t="str">
        <f>"Distributable Cash [LTM] ("&amp;$D$3&amp;"mm, "&amp;$D$4&amp;" rate)"</f>
        <v>Distributable Cash [LTM] (USDmm, Historical rate)</v>
      </c>
      <c r="DO8" s="13" t="str">
        <f>"Debt Issuance Costs [LTM] ("&amp;$D$3&amp;"mm, "&amp;$D$4&amp;" rate)"</f>
        <v>Debt Issuance Costs [LTM] (USDmm, Historical rate)</v>
      </c>
      <c r="DP8" s="13" t="str">
        <f>"Short Term Investments [Latest Annual] ("&amp;$D$3&amp;"mm, "&amp;$D$4&amp;" rate)"</f>
        <v>Short Term Investments [Latest Annual] (USDmm, Historical rate)</v>
      </c>
      <c r="DQ8" s="13" t="str">
        <f>"Accounts Receivable [Latest Annual] ("&amp;$D$3&amp;"mm, "&amp;$D$4&amp;" rate)"</f>
        <v>Accounts Receivable [Latest Annual] (USDmm, Historical rate)</v>
      </c>
      <c r="DR8" s="13" t="str">
        <f>"Other Receivables [Latest Annual] ("&amp;$D$3&amp;"mm, "&amp;$D$4&amp;" rate)"</f>
        <v>Other Receivables [Latest Annual] (USDmm, Historical rate)</v>
      </c>
      <c r="DS8" s="13" t="str">
        <f>"Notes Receivable [Latest Annual] ("&amp;$D$3&amp;"mm, "&amp;$D$4&amp;" rate)"</f>
        <v>Notes Receivable [Latest Annual] (USDmm, Historical rate)</v>
      </c>
      <c r="DT8" s="13" t="str">
        <f>"Total Receivables [Latest Annual] ("&amp;$D$3&amp;"mm, "&amp;$D$4&amp;" rate)"</f>
        <v>Total Receivables [Latest Annual] (USDmm, Historical rate)</v>
      </c>
      <c r="DU8" s="13" t="str">
        <f>"Prepaid Exp. [Latest Annual] ("&amp;$D$3&amp;"mm, "&amp;$D$4&amp;" rate)"</f>
        <v>Prepaid Exp. [Latest Annual] (USDmm, Historical rate)</v>
      </c>
      <c r="DV8" s="13" t="str">
        <f>"Finance Div. Loans and Leases, LT [Latest Annual] ("&amp;$D$3&amp;", "&amp;$D$4&amp;" rate)"</f>
        <v>Finance Div. Loans and Leases, LT [Latest Annual] (USD, Historical rate)</v>
      </c>
      <c r="DW8" s="13" t="str">
        <f>"Finance Div. Other Curr. Assets [Latest Annual] ("&amp;$D$3&amp;"mm, "&amp;$D$4&amp;" rate)"</f>
        <v>Finance Div. Other Curr. Assets [Latest Annual] (USDmm, Historical rate)</v>
      </c>
      <c r="DX8" s="13" t="str">
        <f>"Other Current Assets [Latest Annual] ("&amp;$D$3&amp;"mm, "&amp;$D$4&amp;" rate)"</f>
        <v>Other Current Assets [Latest Annual] (USDmm, Historical rate)</v>
      </c>
      <c r="DY8" s="13" t="str">
        <f>"Other Current Assets, Total [Latest Annual] ("&amp;$D$3&amp;"mm, "&amp;$D$4&amp;" rate)"</f>
        <v>Other Current Assets, Total [Latest Annual] (USDmm, Historical rate)</v>
      </c>
      <c r="DZ8" s="13" t="str">
        <f>"Loans Held For Sale [Latest Annual] ("&amp;$D$3&amp;", "&amp;$D$4&amp;" rate)"</f>
        <v>Loans Held For Sale [Latest Annual] (USD, Historical rate)</v>
      </c>
      <c r="EA8" s="13" t="str">
        <f>"Restricted Cash [Latest Annual] ("&amp;$D$3&amp;"mm, "&amp;$D$4&amp;" rate)"</f>
        <v>Restricted Cash [Latest Annual] (USDmm, Historical rate)</v>
      </c>
      <c r="EB8" s="13" t="str">
        <f>"Gross Property, Plant &amp; Equipment [Latest Annual] ("&amp;$D$3&amp;"mm, "&amp;$D$4&amp;" rate)"</f>
        <v>Gross Property, Plant &amp; Equipment [Latest Annual] (USDmm, Historical rate)</v>
      </c>
      <c r="EC8" s="13" t="str">
        <f>"Accumulated Depreciation [Latest Annual] ("&amp;$D$3&amp;"mm, "&amp;$D$4&amp;" rate)"</f>
        <v>Accumulated Depreciation [Latest Annual] (USDmm, Historical rate)</v>
      </c>
      <c r="ED8" s="13" t="str">
        <f>"Long-term Investments [Latest Annual] ("&amp;$D$3&amp;"mm, "&amp;$D$4&amp;" rate)"</f>
        <v>Long-term Investments [Latest Annual] (USDmm, Historical rate)</v>
      </c>
      <c r="EE8" s="13" t="str">
        <f>"Goodwill [Latest Annual] ("&amp;$D$3&amp;"mm, "&amp;$D$4&amp;" rate)"</f>
        <v>Goodwill [Latest Annual] (USDmm, Historical rate)</v>
      </c>
      <c r="EF8" s="13" t="str">
        <f>"Other Intangibles [Latest Annual] ("&amp;$D$3&amp;"mm, "&amp;$D$4&amp;" rate)"</f>
        <v>Other Intangibles [Latest Annual] (USDmm, Historical rate)</v>
      </c>
      <c r="EG8" s="13" t="str">
        <f>"Finance Div. Other LT Assets [Latest Annual] ("&amp;$D$3&amp;"mm, "&amp;$D$4&amp;" rate)"</f>
        <v>Finance Div. Other LT Assets [Latest Annual] (USDmm, Historical rate)</v>
      </c>
      <c r="EH8" s="13" t="str">
        <f>"Other Assets, Total [Latest Annual] ("&amp;$D$3&amp;"mm, "&amp;$D$4&amp;" rate)"</f>
        <v>Other Assets, Total [Latest Annual] (USDmm, Historical rate)</v>
      </c>
      <c r="EI8" s="13" t="str">
        <f>"Accounts Payable [Latest Annual] ("&amp;$D$3&amp;"mm, "&amp;$D$4&amp;" rate)"</f>
        <v>Accounts Payable [Latest Annual] (USDmm, Historical rate)</v>
      </c>
      <c r="EJ8" s="13" t="str">
        <f>"Accrued Exp. [Latest Annual] ("&amp;$D$3&amp;"mm, "&amp;$D$4&amp;" rate)"</f>
        <v>Accrued Exp. [Latest Annual] (USDmm, Historical rate)</v>
      </c>
      <c r="EK8" s="13" t="str">
        <f>"Long-Term Debt [Latest Annual] ("&amp;$D$3&amp;"mm, "&amp;$D$4&amp;" rate)"</f>
        <v>Long-Term Debt [Latest Annual] (USDmm, Historical rate)</v>
      </c>
      <c r="EL8" s="13" t="str">
        <f>"Capital Leases [Latest Annual] ("&amp;$D$3&amp;"mm, "&amp;$D$4&amp;" rate)"</f>
        <v>Capital Leases [Latest Annual] (USDmm, Historical rate)</v>
      </c>
      <c r="EM8" s="13" t="str">
        <f>"Common Stock [Latest Annual] ("&amp;$D$3&amp;"mm, "&amp;$D$4&amp;" rate)"</f>
        <v>Common Stock [Latest Annual] (USDmm, Historical rate)</v>
      </c>
      <c r="EN8" s="13" t="str">
        <f>"Common Stock &amp; APIC [Latest Annual] ("&amp;$D$3&amp;"mm, "&amp;$D$4&amp;" rate)"</f>
        <v>Common Stock &amp; APIC [Latest Annual] (USDmm, Historical rate)</v>
      </c>
      <c r="EO8" s="13" t="str">
        <f>"Additional Paid In Capital [Latest Annual] ("&amp;$D$3&amp;"mm, "&amp;$D$4&amp;" rate)"</f>
        <v>Additional Paid In Capital [Latest Annual] (USDmm, Historical rate)</v>
      </c>
      <c r="EP8" s="13" t="str">
        <f>"Retained Earnings [Latest Annual] ("&amp;$D$3&amp;"mm, "&amp;$D$4&amp;" rate)"</f>
        <v>Retained Earnings [Latest Annual] (USDmm, Historical rate)</v>
      </c>
      <c r="EQ8" s="13" t="str">
        <f>"Treasury Stock [Latest Annual] ("&amp;$D$3&amp;"mm, "&amp;$D$4&amp;" rate)"</f>
        <v>Treasury Stock [Latest Annual] (USDmm, Historical rate)</v>
      </c>
      <c r="ER8" s="13" t="s">
        <v>147</v>
      </c>
      <c r="ES8" s="13" t="str">
        <f>"Tangible Book Value [Latest Annual] ("&amp;$D$3&amp;"mm, "&amp;$D$4&amp;" rate)"</f>
        <v>Tangible Book Value [Latest Annual] (USDmm, Historical rate)</v>
      </c>
      <c r="ET8" s="13" t="str">
        <f>"Total Intangibles [Latest Annual] ("&amp;$D$3&amp;"mm, "&amp;$D$4&amp;" rate)"</f>
        <v>Total Intangibles [Latest Annual] (USDmm, Historical rate)</v>
      </c>
      <c r="EU8" s="13" t="str">
        <f>"Total Capital [Latest Annual] ("&amp;$D$3&amp;"mm, "&amp;$D$4&amp;" rate)"</f>
        <v>Total Capital [Latest Annual] (USDmm, Historical rate)</v>
      </c>
      <c r="EV8" s="13" t="str">
        <f>"Working Capital [Latest Quarter] ("&amp;$D$3&amp;"mm, "&amp;$D$4&amp;" rate)"</f>
        <v>Working Capital [Latest Quarter] (USDmm, Historical rate)</v>
      </c>
      <c r="EW8" s="13" t="str">
        <f>"LIFO Reserve [Latest Annual] ("&amp;$D$3&amp;"mm, "&amp;$D$4&amp;" rate)"</f>
        <v>LIFO Reserve [Latest Annual] (USDmm, Historical rate)</v>
      </c>
      <c r="EX8" s="13" t="s">
        <v>153</v>
      </c>
      <c r="EY8" s="13" t="str">
        <f>"Equity Method Investments [Latest Annual] ("&amp;$D$3&amp;"mm, "&amp;$D$4&amp;" rate)"</f>
        <v>Equity Method Investments [Latest Annual] (USDmm, Historical rate)</v>
      </c>
      <c r="EZ8" s="13" t="s">
        <v>155</v>
      </c>
      <c r="FA8" s="13" t="str">
        <f>"Work in Progress Inventory [Latest Annual] ("&amp;$D$3&amp;", "&amp;$D$4&amp;" rate)"</f>
        <v>Work in Progress Inventory [Latest Annual] (USD, Historical rate)</v>
      </c>
      <c r="FB8" s="13" t="str">
        <f>"Construction in Progress [Latest Annual] ("&amp;$D$3&amp;"mm, "&amp;$D$4&amp;" rate)"</f>
        <v>Construction in Progress [Latest Annual] (USDmm, Historical rate)</v>
      </c>
      <c r="FC8" s="13" t="str">
        <f>"Debt Equivalent Oper. Leases [Latest Annual] ("&amp;$D$3&amp;"mm, "&amp;$D$4&amp;" rate)"</f>
        <v>Debt Equivalent Oper. Leases [Latest Annual] (USDmm, Historical rate)</v>
      </c>
      <c r="FD8" s="13" t="s">
        <v>159</v>
      </c>
      <c r="FE8" s="13" t="str">
        <f>"Depreciation &amp; Amort., Total [LTM] ("&amp;$D$3&amp;"mm, "&amp;$D$4&amp;" rate)"</f>
        <v>Depreciation &amp; Amort., Total [LTM] (USDmm, Historical rate)</v>
      </c>
      <c r="FF8" s="13" t="str">
        <f>"Other Non-Cash Items, Total [LTM] ("&amp;$D$3&amp;"mm, "&amp;$D$4&amp;" rate)"</f>
        <v>Other Non-Cash Items, Total [LTM] (USDmm, Historical rate)</v>
      </c>
      <c r="FG8" s="13" t="str">
        <f>"(Gain) Loss On Sale Of Invest. [LTM] ("&amp;$D$3&amp;"mm, "&amp;$D$4&amp;" rate)"</f>
        <v>(Gain) Loss On Sale Of Invest. [LTM] (USDmm, Historical rate)</v>
      </c>
      <c r="FH8" s="13" t="str">
        <f>"Net Cash From Discontinued Ops. [LTM] ("&amp;$D$3&amp;"mm, "&amp;$D$4&amp;" rate)"</f>
        <v>Net Cash From Discontinued Ops. [LTM] (USDmm, Historical rate)</v>
      </c>
      <c r="FI8" s="13" t="str">
        <f>"Other Operating Activities [LTM] ("&amp;$D$3&amp;"mm, "&amp;$D$4&amp;" rate)"</f>
        <v>Other Operating Activities [LTM] (USDmm, Historical rate)</v>
      </c>
      <c r="FJ8" s="13" t="str">
        <f>"Total Debt Issued [LTM] ("&amp;$D$3&amp;"mm, "&amp;$D$4&amp;" rate)"</f>
        <v>Total Debt Issued [LTM] (USDmm, Historical rate)</v>
      </c>
      <c r="FK8" s="13" t="str">
        <f>"Total Debt Repaid [LTM] ("&amp;$D$3&amp;"mm, "&amp;$D$4&amp;" rate)"</f>
        <v>Total Debt Repaid [LTM] (USDmm, Historical rate)</v>
      </c>
      <c r="FL8" s="13" t="str">
        <f>"Net Change in Cash [LTM] ("&amp;$D$3&amp;"mm, "&amp;$D$4&amp;" rate)"</f>
        <v>Net Change in Cash [LTM] (USDmm, Historical rate)</v>
      </c>
      <c r="FM8" s="13" t="str">
        <f>"Maintenance CAPEX [LTM] ("&amp;$D$3&amp;"mm, "&amp;$D$4&amp;" rate)"</f>
        <v>Maintenance CAPEX [LTM] (USDmm, Historical rate)</v>
      </c>
      <c r="FN8" s="13" t="str">
        <f>"Total Term Loans [Latest Quarter] ("&amp;$D$3&amp;"mm, "&amp;$D$4&amp;" rate)"</f>
        <v>Total Term Loans [Latest Quarter] (USDmm, Historical rate)</v>
      </c>
      <c r="FO8" s="13" t="str">
        <f>"Total Capital Leases [Latest Quarter] ("&amp;$D$3&amp;"mm, "&amp;$D$4&amp;" rate)"</f>
        <v>Total Capital Leases [Latest Quarter] (USDmm, Historical rate)</v>
      </c>
      <c r="FP8" s="13" t="str">
        <f>"Total Trust Preferred [Latest Quarter] ("&amp;$D$3&amp;"mm, "&amp;$D$4&amp;" rate)"</f>
        <v>Total Trust Preferred [Latest Quarter] (USDmm, Historical rate)</v>
      </c>
      <c r="FQ8" s="13" t="str">
        <f>"Total Principal Due [Latest Quarter] ("&amp;$D$3&amp;"mm, "&amp;$D$4&amp;" rate)"</f>
        <v>Total Principal Due [Latest Quarter] (USDmm, Historical rate)</v>
      </c>
      <c r="FR8" s="13" t="str">
        <f>"Total Bank Debt [Latest Quarter] ("&amp;$D$3&amp;"mm, "&amp;$D$4&amp;" rate)"</f>
        <v>Total Bank Debt [Latest Quarter] (USDmm, Historical rate)</v>
      </c>
      <c r="FS8" s="13" t="str">
        <f>"Underwriting Profit (Loss) [Latest Annual] ("&amp;$D$3&amp;"mm, "&amp;$D$4&amp;" rate)"</f>
        <v>Underwriting Profit (Loss) [Latest Annual] (USDmm, Historical rate)</v>
      </c>
      <c r="FT8" s="13" t="str">
        <f>"Casino Operations Gross Profit [Latest Quarter] ("&amp;$D$3&amp;", "&amp;$D$4&amp;" rate)"</f>
        <v>Casino Operations Gross Profit [Latest Quarter] (USD, Historical rate)</v>
      </c>
      <c r="FU8" s="13" t="str">
        <f>"Casino Operations Gross Profit [Latest Annual] ("&amp;$D$3&amp;", "&amp;$D$4&amp;" rate)"</f>
        <v>Casino Operations Gross Profit [Latest Annual] (USD, Historical rate)</v>
      </c>
      <c r="FV8" s="13" t="str">
        <f>"Depreciation &amp; Amort. [LTM] ("&amp;$D$3&amp;"mm, "&amp;$D$4&amp;" rate)"</f>
        <v>Depreciation &amp; Amort. [LTM] (USDmm, Historical rate)</v>
      </c>
      <c r="FW8" s="13" t="str">
        <f>"Free Cash Flow Actual - Capital IQ [FY] ("&amp;$D$3&amp;"mm, "&amp;$D$4&amp;" rate)"</f>
        <v>Free Cash Flow Actual - Capital IQ [FY] (USDmm, Historical rate)</v>
      </c>
      <c r="FX8" s="13" t="str">
        <f>"Geographic Segments (Screen by Sum): Revenue ("&amp;$D$3&amp;"mm, "&amp;$D$4&amp;" rate) [LTM]"</f>
        <v>Geographic Segments (Screen by Sum): Revenue (USDmm, Historical rate) [LTM]</v>
      </c>
      <c r="FY8" s="13" t="str">
        <f>"Geographic Segments (Screen by Sum) (Details): Revenue ("&amp;$D$3&amp;"mm, "&amp;$D$4&amp;" rate) [LTM]"</f>
        <v>Geographic Segments (Screen by Sum) (Details): Revenue (USDmm, Historical rate) [LTM]</v>
      </c>
      <c r="FZ8" s="13" t="s">
        <v>178</v>
      </c>
      <c r="GA8" s="13" t="s">
        <v>179</v>
      </c>
      <c r="GB8" s="13" t="s">
        <v>180</v>
      </c>
      <c r="GC8" s="13" t="str">
        <f>"DPS - Capital IQ [FY] ("&amp;$D$3&amp;", "&amp;$D$4&amp;" rate)"</f>
        <v>DPS - Capital IQ [FY] (USD, Historical rate)</v>
      </c>
      <c r="GD8" s="13" t="str">
        <f>"FFO [LTM] ("&amp;$D$3&amp;", "&amp;$D$4&amp;" rate)"</f>
        <v>FFO [LTM] (USD, Historical rate)</v>
      </c>
      <c r="GE8" s="13" t="s">
        <v>183</v>
      </c>
      <c r="GF8" s="13" t="str">
        <f>"Adjusted FFO (REIT) - Capital IQ [NTM] ("&amp;$D$3&amp;", "&amp;$D$4&amp;" rate)"</f>
        <v>Adjusted FFO (REIT) - Capital IQ [NTM] (USD, Historical rate)</v>
      </c>
      <c r="GG8" s="13" t="str">
        <f>"Net Income (Excl. Excep) - Capital IQ [FY] ("&amp;$D$3&amp;"mm, "&amp;$D$4&amp;" rate)"</f>
        <v>Net Income (Excl. Excep) - Capital IQ [FY] (USDmm, Historical rate)</v>
      </c>
      <c r="GH8" s="13" t="str">
        <f>"Total Same Store Sales ["&amp;LEFT(GG1,2)&amp;"   "&amp;RIGHT(GG1,4)&amp;"] ("&amp;$D$3&amp;"mm, "&amp;$D$4&amp;" rate)"</f>
        <v>Total Same Store Sales [CY   2015] (USDmm, Historical rate)</v>
      </c>
      <c r="GI8" s="13" t="str">
        <f>"Total Same Store Sales [Latest Quarter] ("&amp;$D$3&amp;"mm, "&amp;$D$4&amp;" rate)"</f>
        <v>Total Same Store Sales [Latest Quarter] (USDmm, Historical rate)</v>
      </c>
      <c r="GK8" s="37">
        <v>1</v>
      </c>
      <c r="GL8" s="37">
        <f>GK8+1</f>
        <v>2</v>
      </c>
      <c r="GM8" s="37">
        <f t="shared" ref="GM8:GO8" si="0">GL8+1</f>
        <v>3</v>
      </c>
      <c r="GN8" s="37">
        <f t="shared" si="0"/>
        <v>4</v>
      </c>
      <c r="GO8" s="37">
        <f t="shared" si="0"/>
        <v>5</v>
      </c>
    </row>
    <row r="9" spans="1:197" ht="27" customHeight="1">
      <c r="A9" s="18" t="s">
        <v>188</v>
      </c>
      <c r="B9" s="25" t="str">
        <f>IF($A9="","",IF(_xll.ciqfunctions.udf.CIQ($A9,"IQ_COMPANY_NAME_LONG")=0,"-",_xll.ciqfunctions.udf.CIQ($A9,"IQ_COMPANY_NAME_LONG")))</f>
        <v>Indian Oil Corporation Limited (BSE:530965)</v>
      </c>
      <c r="C9" s="26" t="str">
        <f>IF($A9="","",IF(_xll.ciqfunctions.udf.CIQ($A9,"IQ_CITY")=0,"-",_xll.ciqfunctions.udf.CIQ($A9,"IQ_CITY")))</f>
        <v>New Delhi</v>
      </c>
      <c r="D9" s="26" t="str">
        <f>IF($A9="","",IF(_xll.ciqfunctions.udf.CIQ($A9,"IQ_COUNTRY_NAME")=0,"-",_xll.ciqfunctions.udf.CIQ($A9,"IQ_COUNTRY_NAME")))</f>
        <v>India</v>
      </c>
      <c r="E9" s="27">
        <f>IF($A9="","",IF(_xll.ciqfunctions.udf.CIQ($A9,"IQ_MARKETCAP",$D$2,$D$3,$G$1)=0,"-",_xll.ciqfunctions.udf.CIQ($A9,"IQ_MARKETCAP",$D$2,$D$3,$G$1)))</f>
        <v>28709.30083</v>
      </c>
      <c r="F9" s="27">
        <f>IF($A9="","",IF(_xll.ciqfunctions.udf.CIQ($A9,"IQ_TEV",$D$2,$D$3,$G$1)=0,"-",_xll.ciqfunctions.udf.CIQ($A9,"IQ_TEV",$D$2,$D$3,$G$1)))</f>
        <v>36726.275479999997</v>
      </c>
      <c r="G9" s="27" t="str">
        <f>IF($A9="","",IF(_xll.ciqfunctions.udf.CIQ($A9,"IQ_MARKETCAP_IMP",$D$2,$D$3,$G$1)=0,"-",_xll.ciqfunctions.udf.CIQ($A9,"IQ_MARKETCAP_IMP",$D$2,$D$3,$G$1)))</f>
        <v>-</v>
      </c>
      <c r="H9" s="27">
        <f>IF($A9="","",IF(_xll.ciqfunctions.udf.CIQ($A9,"IQ_TOTAL_REV",$I$1,$D$2,,,$D$3,$G$1)=0,"-",_xll.ciqfunctions.udf.CIQ($A9,"IQ_TOTAL_REV",$I$1,$D$2,,,$D$3,$G$1)))</f>
        <v>53704.507709999998</v>
      </c>
      <c r="I9" s="27">
        <f>IF($A9="","",IF(_xll.ciqfunctions.udf.CIQ($A9,"IQ_GP",$I$1,$D$2,,,$D$3,$G$1)=0,"-",_xll.ciqfunctions.udf.CIQ($A9,"IQ_GP",$I$1,$D$2,,,$D$3,$G$1)))</f>
        <v>9548.7937899999997</v>
      </c>
      <c r="J9" s="27">
        <f>IF($A9="","",IF(_xll.ciqfunctions.udf.CIQ($A9,"IQ_EBITDA",$I$1,$D$2,,,$D$3,$G$1)=0,"-",_xll.ciqfunctions.udf.CIQ($A9,"IQ_EBITDA",$I$1,$D$2,,,$D$3,$G$1)))</f>
        <v>3759.8763199999999</v>
      </c>
      <c r="K9" s="27">
        <f>IF($A9="","",IF(_xll.ciqfunctions.udf.CIQ($A9,"IQ_EBIT",$I$1,$D$2,,,$D$3,$G$1)=0,"-",_xll.ciqfunctions.udf.CIQ($A9,"IQ_EBIT",$I$1,$D$2,,,$D$3,$G$1)))</f>
        <v>2877.2508899999998</v>
      </c>
      <c r="L9" s="27">
        <f>IF($A9="","",IF(_xll.ciqfunctions.udf.CIQ($A9,"IQ_EARNING_CO",$I$1,$D$2,,,$D$3,$G$1)=0,"-",_xll.ciqfunctions.udf.CIQ($A9,"IQ_EARNING_CO",$I$1,$D$2,,,$D$3,$G$1)))</f>
        <v>1751.1460099999999</v>
      </c>
      <c r="M9" s="27">
        <f>IF($A9="","",IF(_xll.ciqfunctions.udf.CIQ($A9,"IQ_NI",$I$1,$D$2,,,$D$3,$G$1)=0,"-",_xll.ciqfunctions.udf.CIQ($A9,"IQ_NI",$I$1,$D$2,,,$D$3,$G$1)))</f>
        <v>1692.8283899999999</v>
      </c>
      <c r="N9" s="27">
        <f>IF($A9="","",IF(_xll.ciqfunctions.udf.CIQ($A9,"IQ_CASH_EQUIV",$O$1,$D$2,,,$D$3,$G$1)=0,"-",_xll.ciqfunctions.udf.CIQ($A9,"IQ_CASH_EQUIV",$O$1,$D$2,,,$D$3,$G$1)))</f>
        <v>303.83251999999999</v>
      </c>
      <c r="O9" s="27">
        <f>IF($A9="","",IF(_xll.ciqfunctions.udf.CIQ($A9,"IQ_CASH_ST_INVEST",$O$1,$D$2,,,$D$3,$G$1)=0,"-",_xll.ciqfunctions.udf.CIQ($A9,"IQ_CASH_ST_INVEST",$O$1,$D$2,,,$D$3,$G$1)))</f>
        <v>1361.7050400000001</v>
      </c>
      <c r="P9" s="27">
        <f>IF($A9="","",IF(_xll.ciqfunctions.udf.CIQ($A9,"IQ_NPPE",$O$1,$D$2,,,$D$3,$G$1)=0,"-",_xll.ciqfunctions.udf.CIQ($A9,"IQ_NPPE",$O$1,$D$2,,,$D$3,$G$1)))</f>
        <v>18688.412179999999</v>
      </c>
      <c r="Q9" s="27">
        <f>IF($A9="","",IF(_xll.ciqfunctions.udf.CIQ($A9,"IQ_TOTAL_ASSETS",$O$1,$D$2,,,$D$3,$G$1)=0,"-",_xll.ciqfunctions.udf.CIQ($A9,"IQ_TOTAL_ASSETS",$O$1,$D$2,,,$D$3,$G$1)))</f>
        <v>36518.18533</v>
      </c>
      <c r="R9" s="27">
        <f>IF($A9="","",IF(_xll.ciqfunctions.udf.CIQ($A9,"IQ_TOTAL_DEBT",$O$1,$D$2,,,$D$3,$G$1)=0,"-",_xll.ciqfunctions.udf.CIQ($A9,"IQ_TOTAL_DEBT",$O$1,$D$2,,,$D$3,$G$1)))</f>
        <v>9253.5814200000004</v>
      </c>
      <c r="S9" s="27">
        <f>IF($A9="","",IF(_xll.ciqfunctions.udf.CIQ($A9,"IQ_TOTAL_EQUITY",$O$1,$D$2,,,$D$3,$G$1)=0,"-",_xll.ciqfunctions.udf.CIQ($A9,"IQ_TOTAL_EQUITY",$O$1,$D$2,,,$D$3,$G$1)))</f>
        <v>11679.86285</v>
      </c>
      <c r="T9" s="27">
        <f>IF($A9="","",IF(_xll.ciqfunctions.udf.CIQ($A9,"IQ_CASH_OPER",$U$1,$D$2,,,$D$3,$G$1)=0,"-",_xll.ciqfunctions.udf.CIQ($A9,"IQ_CASH_OPER",$U$1,$D$2,,,$D$3,$G$1)))</f>
        <v>4076.9219699999999</v>
      </c>
      <c r="U9" s="27">
        <f>IF($A9="","",IF(_xll.ciqfunctions.udf.CIQ($A9,"IQ_CAPEX",$U$1,$D$2,,,$D$3,$G$1)=0,"-",-_xll.ciqfunctions.udf.CIQ($A9,"IQ_CAPEX",$U$1,$D$2,,,$D$3,$G$1)))</f>
        <v>2362.9091199999998</v>
      </c>
      <c r="V9" s="28">
        <f>IF($A9="","",IF(_xll.ciqfunctions.udf.CIQ($A9,"IQ_DIV_SHARE",$U$1,$D$2,,,$D$3,$G$1)=0,"-",_xll.ciqfunctions.udf.CIQ($A9,"IQ_DIV_SHARE",$U$1,$D$2,,,$D$3,$G$1)))</f>
        <v>0.10562000000000001</v>
      </c>
      <c r="W9" s="29">
        <f>IF($A9="","",IF(_xll.ciqfunctions.udf.CIQ($A9,"IQ_PERIODDATE_IS",$U$1,$D$2)=0,"-",_xll.ciqfunctions.udf.CIQ($A9,"IQ_PERIODDATE_IS",$U$1,$D$2)))</f>
        <v>42460</v>
      </c>
      <c r="X9" s="29">
        <f>IF($A9="","",IF(_xll.ciqfunctions.udf.CIQ($A9,"IQ_PERIODDATE_BS",$U$1,$D$2)=0,"-",_xll.ciqfunctions.udf.CIQ($A9,"IQ_PERIODDATE_BS",$U$1,$D$2)))</f>
        <v>42460</v>
      </c>
      <c r="Y9" s="29">
        <f>IF($A9="","",IF(_xll.ciqfunctions.udf.CIQ($A9,"IQ_PERIODDATE_CF",$U$1,$D$2)=0,"-",_xll.ciqfunctions.udf.CIQ($A9,"IQ_PERIODDATE_CF",$U$1,$D$2)))</f>
        <v>42460</v>
      </c>
      <c r="Z9" s="29">
        <f>IF($A9="","",IF(_xll.ciqfunctions.udf.CIQ($A9,"IQ_FILINGDATE_IS",$U$1,$D$2)=0,"-",_xll.ciqfunctions.udf.CIQ($A9,"IQ_FILINGDATE_IS",$U$1,$D$2)))</f>
        <v>42601</v>
      </c>
      <c r="AA9" s="29">
        <f>IF($A9="","",IF(_xll.ciqfunctions.udf.CIQ($A9,"IQ_FILINGDATE_BS",$U$1,$D$2)=0,"-",_xll.ciqfunctions.udf.CIQ($A9,"IQ_FILINGDATE_BS",$U$1,$D$2)))</f>
        <v>42601</v>
      </c>
      <c r="AB9" s="29">
        <f>IF($A9="","",IF(_xll.ciqfunctions.udf.CIQ($A9,"IQ_FILINGDATE_CF",$U$1,$D$2)=0,"-",_xll.ciqfunctions.udf.CIQ($A9,"IQ_FILINGDATE_CF",$U$1,$D$2)))</f>
        <v>42601</v>
      </c>
      <c r="AC9" s="27">
        <f>IF($A9="","",IF(_xll.ciqfunctions.udf.CIQ($A9,"IQ_REV",$U$1,$D$2,,,$D$3,$G$1)=0,"-",_xll.ciqfunctions.udf.CIQ($A9,"IQ_REV",$U$1,$D$2,,,$D$3,$G$1)))</f>
        <v>53704.507709999998</v>
      </c>
      <c r="AD9" s="27" t="str">
        <f>IF($A9="","",IF(_xll.ciqfunctions.udf.CIQ($A9,"IQ_OTHER_REV",$U$1,$D$2,,,$D$3,$G$1)=0,"-",_xll.ciqfunctions.udf.CIQ($A9,"IQ_OTHER_REV",$U$1,$D$2,,,$D$3,$G$1)))</f>
        <v>-</v>
      </c>
      <c r="AE9" s="27" t="str">
        <f>IF($A9="","",IF(_xll.ciqfunctions.udf.CIQ($A9,"IQ_GAIN_INVEST_REV",$U$1,$D$2,,,$D$3,$G$1)=0,"-",_xll.ciqfunctions.udf.CIQ($A9,"IQ_GAIN_INVEST_REV",$U$1,$D$2,,,$D$3,$G$1)))</f>
        <v>-</v>
      </c>
      <c r="AF9" s="27" t="str">
        <f>IF($A9="","",IF(_xll.ciqfunctions.udf.CIQ($A9,"IQ_INT_INV_INC",$U$1,$D$2,,,$D$3,$G$1)=0,"-",_xll.ciqfunctions.udf.CIQ($A9,"IQ_INT_INV_INC",$U$1,$D$2,,,$D$3,$G$1)))</f>
        <v>-</v>
      </c>
      <c r="AG9" s="27" t="str">
        <f>IF($A9="","",IF(_xll.ciqfunctions.udf.CIQ($A9,"IQ_OTHER_REV_SUPPL",$U$1,$D$2,,,$D$3,$G$1)=0,"-",_xll.ciqfunctions.udf.CIQ($A9,"IQ_OTHER_REV_SUPPL",$U$1,$D$2,,,$D$3,$G$1)))</f>
        <v>-</v>
      </c>
      <c r="AH9" s="27">
        <f>IF($A9="","",IF(_xll.ciqfunctions.udf.CIQ($A9,"IQ_COGS",$U$1,$D$2,,,$D$3,$G$1)=0,"-",_xll.ciqfunctions.udf.CIQ($A9,"IQ_COGS",$U$1,$D$2,,,$D$3,$G$1)))</f>
        <v>44155.713920000002</v>
      </c>
      <c r="AI9" s="27" t="str">
        <f>IF($A9="","",IF(_xll.ciqfunctions.udf.CIQ($A9,"IQ_FIN_DIV_EXP",$U$1,$D$2,,,$D$3,$G$1)=0,"-",_xll.ciqfunctions.udf.CIQ($A9,"IQ_FIN_DIV_EXP",$U$1,$D$2,,,$D$3,$G$1)))</f>
        <v>-</v>
      </c>
      <c r="AJ9" s="27" t="str">
        <f>IF($A9="","",IF(_xll.ciqfunctions.udf.CIQ($A9,"IQ_INS_DIV_EXP",$U$1,$D$2,,,$D$3,$G$1)=0,"-",_xll.ciqfunctions.udf.CIQ($A9,"IQ_INS_DIV_EXP",$U$1,$D$2,,,$D$3,$G$1)))</f>
        <v>-</v>
      </c>
      <c r="AK9" s="27" t="str">
        <f>IF($A9="","",IF(_xll.ciqfunctions.udf.CIQ($A9,"IQ_FIN_DIV_INT_EXP",$U$1,$D$2,,,$D$3,$G$1)=0,"-",_xll.ciqfunctions.udf.CIQ($A9,"IQ_FIN_DIV_INT_EXP",$U$1,$D$2,,,$D$3,$G$1)))</f>
        <v>-</v>
      </c>
      <c r="AL9" s="27">
        <f>IF($A9="","",IF(_xll.ciqfunctions.udf.CIQ($A9,"IQ_SGA",$U$1,$D$2,,,$D$3,$G$1)=0,"-",_xll.ciqfunctions.udf.CIQ($A9,"IQ_SGA",$U$1,$D$2,,,$D$3,$G$1)))</f>
        <v>1449.4168400000001</v>
      </c>
      <c r="AM9" s="27">
        <f>IF($A9="","",IF(_xll.ciqfunctions.udf.CIQ($A9,"IQ_SGA_SUPPL",$U$1,$D$2,,,$D$3,$G$1)=0,"-",_xll.ciqfunctions.udf.CIQ($A9,"IQ_SGA_SUPPL",$U$1,$D$2,,,$D$3,$G$1)))</f>
        <v>1381.37309</v>
      </c>
      <c r="AN9" s="27">
        <f>IF($A9="","",IF(_xll.ciqfunctions.udf.CIQ($A9,"IQ_TOTAL_OPER_EXPEN",$U$1,$D$2,,,$D$3,$G$1)=0,"-",_xll.ciqfunctions.udf.CIQ($A9,"IQ_TOTAL_OPER_EXPEN",$U$1,$D$2,,,$D$3,$G$1)))</f>
        <v>50827.256820000002</v>
      </c>
      <c r="AO9" s="27">
        <f>IF($A9="","",IF(_xll.ciqfunctions.udf.CIQ($A9,"IQ_OPER_INC",$U$1,$D$2,,,$D$3,$G$1)=0,"-",_xll.ciqfunctions.udf.CIQ($A9,"IQ_OPER_INC",$U$1,$D$2,,,$D$3,$G$1)))</f>
        <v>2877.2508899999998</v>
      </c>
      <c r="AP9" s="27">
        <f>IF($A9="","",IF(_xll.ciqfunctions.udf.CIQ($A9,"IQ_INTEREST_EXP",$U$1,$D$2,,,$D$3,$G$1)=0,"-",_xll.ciqfunctions.udf.CIQ($A9,"IQ_INTEREST_EXP",$U$1,$D$2,,,$D$3,$G$1)))</f>
        <v>-445.05018000000001</v>
      </c>
      <c r="AQ9" s="27">
        <f>IF($A9="","",IF(_xll.ciqfunctions.udf.CIQ($A9,"IQ_INTEREST_INVEST_INC",$U$1,$D$2,,,$D$3,$G$1)=0,"-",_xll.ciqfunctions.udf.CIQ($A9,"IQ_INVESTMENT_INCOME",$U$1,$D$2,,,$D$3,$G$1)))</f>
        <v>0</v>
      </c>
      <c r="AR9" s="27">
        <f>IF($A9="","",IF(_xll.ciqfunctions.udf.CIQ($A9,"IQ_NET_INTEREST_EXP",$U$1,$D$2,,,$D$3,$G$1)=0,"-",_xll.ciqfunctions.udf.CIQ($A9,"IQ_NET_INTEREST_EXP",$U$1,$D$2,,,$D$3,$G$1)))</f>
        <v>-124.87967</v>
      </c>
      <c r="AS9" s="27">
        <f>IF($A9="","",IF(_xll.ciqfunctions.udf.CIQ($A9,"IQ_OTHER_NON_OPER_EXP",$U$1,$D$2,,,$D$3,$G$1)=0,"-",_xll.ciqfunctions.udf.CIQ($A9,"IQ_OTHER_NON_OPER_EXP",$U$1,$D$2,,,$D$3,$G$1)))</f>
        <v>-338.54998999999998</v>
      </c>
      <c r="AT9" s="28">
        <f>IF($A9="","",IF(_xll.ciqfunctions.udf.CIQ($A9,"IQ_INC_EQUITY",$U$1,$D$2,,,$D$3,$G$1)=0,"-",_xll.ciqfunctions.udf.CIQ($A9,"IQ_INC_EQUITY",$U$1,$D$2,,,$D$3,$G$1)))</f>
        <v>0.44812999999999997</v>
      </c>
      <c r="AU9" s="27">
        <f>IF($A9="","",IF(_xll.ciqfunctions.udf.CIQ($A9,"IQ_CURRENCY_GAIN",$U$1,$D$2,,,$D$3,$G$1)=0,"-",_xll.ciqfunctions.udf.CIQ($A9,"IQ_CURRENCY_GAIN",$U$1,$D$2,,,$D$3,$G$1)))</f>
        <v>-334.88193999999999</v>
      </c>
      <c r="AV9" s="27">
        <f>IF($A9="","",IF(_xll.ciqfunctions.udf.CIQ($A9,"IQ_OTHER_NON_OPER_EXP_SUPPL",$U$1,$D$2,,,$D$3,$G$1)=0,"-",_xll.ciqfunctions.udf.CIQ($A9,"IQ_OTHER_NON_OPER_EXP_SUPPL",$U$1,$D$2,,,$D$3,$G$1)))</f>
        <v>-4.1161799999999999</v>
      </c>
      <c r="AW9" s="27">
        <f>IF($A9="","",IF(_xll.ciqfunctions.udf.CIQ($A9,"IQ_EBT_EXCL",$U$1,$D$2,,,$D$3,$G$1)=0,"-",_xll.ciqfunctions.udf.CIQ($A9,"IQ_EBT_EXCL",$U$1,$D$2,,,$D$3,$G$1)))</f>
        <v>2413.82123</v>
      </c>
      <c r="AX9" s="27" t="str">
        <f>IF($A9="","",IF(_xll.ciqfunctions.udf.CIQ($A9,"IQ_STOCK_BASED_COGS",$U$1,$D$2,,,$D$3,$G$1)=0,"-",_xll.ciqfunctions.udf.CIQ($A9,"IQ_STOCK_BASED_COGS",$U$1,$D$2,,,$D$3,$G$1)))</f>
        <v>-</v>
      </c>
      <c r="AY9" s="30">
        <f>IF($A9="","",IF(_xll.ciqfunctions.udf.CIQ($A9,"IQ_SGA_MARGIN",$AZ$1,$D$2)=0,"-",IF(ISTEXT(_xll.ciqfunctions.udf.CIQ($A9,"IQ_SGA_MARGIN",$AZ$1,$D$2)),_xll.ciqfunctions.udf.CIQ($A9,"IQ_SGA_MARGIN",$AZ$1,$D$2),IFERROR(_xll.ciqfunctions.udf.CIQ($A9,"IQ_SGA_MARGIN",$AZ$1,$D$2)/100,"-"))))</f>
        <v>2.5720999999999997E-2</v>
      </c>
      <c r="AZ9" s="27" t="str">
        <f>IF($A9="","",IF(_xll.ciqfunctions.udf.CIQ($A9,"IQ_MC_SGA_PMPM",$O$1,$D$2,,,$D$3,$G$1)=0,"-",_xll.ciqfunctions.udf.CIQ($A9,"IQ_MC_SGA_PMPM",$O$1,$D$2,,,$D$3,$G$1)))</f>
        <v>-</v>
      </c>
      <c r="BA9" s="31">
        <f>IF($A9="","",IF(_xll.ciqfunctions.udf.CIQ($A9,"IQ_TEV_EBITDA",$AZ$1,$D$2)=0,"-",_xll.ciqfunctions.udf.CIQ($A9,"IQ_TEV_EBITDA",$AZ$1,$D$2)))</f>
        <v>9.8743599999999994</v>
      </c>
      <c r="BB9" s="30">
        <f>IF($A9="","",IF(_xll.ciqfunctions.udf.CIQ($A9,"IQ_EBITDA_MARGIN",$AZ$1,$D$2)=0,"-",IF(ISTEXT(_xll.ciqfunctions.udf.CIQ($A9,"IQ_EBITDA_MARGIN",$AZ$1,$D$2)),_xll.ciqfunctions.udf.CIQ($A9,"IQ_EBITDA_MARGIN",$AZ$1,$D$2),IFERROR(_xll.ciqfunctions.udf.CIQ($A9,"IQ_EBITDA_MARGIN",$AZ$1,$D$2)/100,"-"))))</f>
        <v>7.0010000000000003E-2</v>
      </c>
      <c r="BC9" s="27">
        <f>IF($A9="","",IF(_xll.ciqfunctions.udf.CIQ($A9,"IQ_EBITDA_EST",$BB$1,$D$2,,,$D$3,$G$1)=0,"-",_xll.ciqfunctions.udf.CIQ($A9,"IQ_EBITDA_EST",$BB$1,$D$2,,,$D$3,$G$1)))</f>
        <v>5287.8042100000002</v>
      </c>
      <c r="BD9" s="27">
        <f>IF($A9="","",IF(_xll.ciqfunctions.udf.CIQ($A9,"IQ_TOTAL_OUTSTANDING_BS_DATE",$O$1,$D$2)=0,"-",_xll.ciqfunctions.udf.CIQ($A9,"IQ_TOTAL_OUTSTANDING_BS_DATE",$O$1,$D$2)))</f>
        <v>4855.9049599999998</v>
      </c>
      <c r="BE9" s="27">
        <f>IF($A9="","",IF(_xll.ciqfunctions.udf.CIQ($A9,"IQ_DA",$U$1,$D$2,,,$D$3,$G$1)=0,"-",_xll.ciqfunctions.udf.CIQ($A9,"IQ_DA",$U$1,$D$2,,,$D$3,$G$1)))</f>
        <v>890.66315999999995</v>
      </c>
      <c r="BF9" s="27">
        <f>IF($A9="","",IF(_xll.ciqfunctions.udf.CIQ($A9,"IQ_DA_SUPPL_CF",$U$1,$D$2,,,$D$3,$G$1)=0,"-",_xll.ciqfunctions.udf.CIQ($A9,"IQ_DA_SUPPL_CF",$U$1,$D$2,,,$D$3,$G$1)))</f>
        <v>818.95285999999999</v>
      </c>
      <c r="BG9" s="27">
        <f>IF($A9="","",IF(_xll.ciqfunctions.udf.CIQ($A9,"IQ_CURR_TAXES",$O$1,$D$2,,,$D$3,$G$1)=0,"-",_xll.ciqfunctions.udf.CIQ($A9,"IQ_CURR_TAXES",$O$1,$D$2,,,$D$3,$G$1)))</f>
        <v>428.5779</v>
      </c>
      <c r="BH9" s="30">
        <f>IF($A9="","",IF(_xll.ciqfunctions.udf.CIQ($A9,"IQ_RETURN_ASSETS",$AZ$1,$D$2)=0,"-",IF(ISTEXT(_xll.ciqfunctions.udf.CIQ($A9,"IQ_RETURN_ASSETS",$AZ$1,$D$2)),_xll.ciqfunctions.udf.CIQ($A9,"IQ_RETURN_ASSETS",$AZ$1,$D$2),IFERROR(_xll.ciqfunctions.udf.CIQ($A9,"IQ_RETURN_ASSETS",$AZ$1,$D$2)/100,"-"))))</f>
        <v>5.0099999999999999E-2</v>
      </c>
      <c r="BI9" s="27">
        <f>IF($A9="","",IF(_xll.ciqfunctions.udf.CIQ($A9,"IQ_TOTAL_CA",$O$1,$D$2,,,$D$3,$G$1)=0,"-",_xll.ciqfunctions.udf.CIQ($A9,"IQ_TOTAL_CA",$O$1,$D$2,,,$D$3,$G$1)))</f>
        <v>14254.904759999999</v>
      </c>
      <c r="BJ9" s="27" t="str">
        <f>IF($A9="","",IF(_xll.ciqfunctions.udf.CIQ($A9,"IQ_AUM",$O$1,$D$2,,,$D$3,$G$1)=0,"-",_xll.ciqfunctions.udf.CIQ($A9,"IQ_AUM",$O$1,$D$2,,,$D$3,$G$1)))</f>
        <v>-</v>
      </c>
      <c r="BK9" s="27">
        <f>IF($A9="","",IF(_xll.ciqfunctions.udf.CIQ($A9,"IQ_PENSION_ASSETS",$O$1,$D$2,,,$D$3,$G$1)=0,"-",_xll.ciqfunctions.udf.CIQ($A9,"IQ_PENSION_ASSETS",$O$1,$D$2,,,$D$3,$G$1)))</f>
        <v>295.36025000000001</v>
      </c>
      <c r="BL9" s="32">
        <f>IF($A9="","",IF(_xll.ciqfunctions.udf.CIQ($A9,"IQ_ASSET_WRITEDOWN",$O$1,$D$2,,,$D$3,$G$1)=0,"-",_xll.ciqfunctions.udf.CIQ($A9,"IQ_ASSET_WRITEDOWN",$O$1,$D$2,,,$D$3,$G$1)))</f>
        <v>-2.3598599999999998</v>
      </c>
      <c r="BM9" s="31" t="str">
        <f>IF($A9="","",IF(_xll.ciqfunctions.udf.CIQ($A9,"IQ_FIXED_ASSET_TURNS",$BL$1,$D$2)=0,"-",_xll.ciqfunctions.udf.CIQ($A9,"IQ_FIXED_ASSET_TURNS",$BL$1,$D$2)))</f>
        <v>-</v>
      </c>
      <c r="BN9" s="31" t="str">
        <f>IF($A9="","",IF(_xll.ciqfunctions.udf.CIQ($A9,"IQ_ASSET_TURNS",$BL$1,$D$2)=0,"-",_xll.ciqfunctions.udf.CIQ($A9,"IQ_ASSET_TURNS",$BL$1,$D$2)))</f>
        <v>-</v>
      </c>
      <c r="BO9" s="27" t="str">
        <f>IF($A9="","",IF(_xll.ciqfunctions.udf.CIQ($A9,"IQ_AUM_PRIVATE_EQUITY",$O$1,$D$2,,,$D$3,$G$1)=0,"-",_xll.ciqfunctions.udf.CIQ($A9,"IQ_AUM_PRIVATE_EQUITY",$O$1,$D$2,,,$D$3,$G$1)))</f>
        <v>-</v>
      </c>
      <c r="BP9" s="27" t="str">
        <f>IF($A9="","",IF(_xll.ciqfunctions.udf.CIQ($A9,"IQ_TOTAL_ASSETS",$BL$1,$D$2,,,$D$3,$G$1)=0,"-",_xll.ciqfunctions.udf.CIQ($A9,"IQ_TOTAL_ASSETS",$BL$1,$D$2,,,$D$3,$G$1)))</f>
        <v>-</v>
      </c>
      <c r="BQ9" s="27" t="str">
        <f>IF($A9="","",IF(_xll.ciqfunctions.udf.CIQ($A9,"IQ_AUM_TOTAL_CUSTOMERS",$O$1,$D$2)=0,"-",_xll.ciqfunctions.udf.CIQ($A9,"IQ_AUM_TOTAL_CUSTOMERS",$O$1,$D$2)))</f>
        <v>-</v>
      </c>
      <c r="BR9" s="27" t="str">
        <f>IF($A9="","",IF(_xll.ciqfunctions.udf.CIQ($A9,"IQ_TRADING_ASSETS",$O$1,$D$2,,,$D$3,$G$1)=0,"-",_xll.ciqfunctions.udf.CIQ($A9,"IQ_TRADING_ASSETS",$O$1,$D$2,,,$D$3,$G$1)))</f>
        <v>-</v>
      </c>
      <c r="BS9" s="27" t="str">
        <f>IF($A9="","",IF(_xll.ciqfunctions.udf.CIQ($A9,"IQ_NON_PERFORMING_ASSETS",$BL$1,$D$2,,,$D$3,$G$1)=0,"-",_xll.ciqfunctions.udf.CIQ($A9,"IQ_NON_PERFORMING_ASSETS",$BL$1,$D$2,,,$D$3,$G$1)))</f>
        <v>-</v>
      </c>
      <c r="BT9" s="27">
        <f>IF($A9="","",IF(_xll.ciqfunctions.udf.CIQ($A9,"IQ_INVENTORY",$O$1,$D$2,,,$D$3,$G$1)=0,"-",_xll.ciqfunctions.udf.CIQ($A9,"IQ_INVENTORY",$O$1,$D$2,,,$D$3,$G$1)))</f>
        <v>6351.5157399999998</v>
      </c>
      <c r="BU9" s="31" t="str">
        <f>IF($A9="","",IF(_xll.ciqfunctions.udf.CIQ($A9,"IQ_INVENTORY_TURNS",$BL$1,$D$2)=0,"-",_xll.ciqfunctions.udf.CIQ($A9,"IQ_INVENTORY_TURNS",$BL$1,$D$2)))</f>
        <v>-</v>
      </c>
      <c r="BV9" s="33" t="str">
        <f>IF($A9="","",IF(_xll.ciqfunctions.udf.CIQ($A9,"IQ_DAYS_INVENTORY_OUT",$BL$1,$D$2)=0,"-",_xll.ciqfunctions.udf.CIQ($A9,"IQ_DAYS_INVENTORY_OUT",$BL$1,$D$2)))</f>
        <v>-</v>
      </c>
      <c r="BW9" s="27">
        <f>IF($A9="","",IF(_xll.ciqfunctions.udf.CIQ($A9,"IQ_FINISHED_INV",$O$1,$D$2,,,$D$3,$G$1)=0,"-",_xll.ciqfunctions.udf.CIQ($A9,"IQ_FINISHED_INV",$O$1,$D$2,,,$D$3,$G$1)))</f>
        <v>3215.7541000000001</v>
      </c>
      <c r="BX9" s="27">
        <f>IF($A9="","",IF(_xll.ciqfunctions.udf.CIQ($A9,"IQ_RAW_INV",$O$1,$D$2,,,$D$3,$G$1)=0,"-",_xll.ciqfunctions.udf.CIQ($A9,"IQ_RAW_INV",$O$1,$D$2,,,$D$3,$G$1)))</f>
        <v>2131.0931999999998</v>
      </c>
      <c r="BY9" s="27">
        <f>IF($A9="","",IF(_xll.ciqfunctions.udf.CIQ($A9,"IQ_TOTAL_CL",$O$1,$D$2,,,$D$3,$G$1)=0,"-",_xll.ciqfunctions.udf.CIQ($A9,"IQ_TOTAL_CL",$O$1,$D$2,,,$D$3,$G$1)))</f>
        <v>15706.772000000001</v>
      </c>
      <c r="BZ9" s="27">
        <f>IF($A9="","",IF(_xll.ciqfunctions.udf.CIQ($A9,"IQ_TOTAL_LIAB",$O$1,$D$2,,,$D$3,$G$1)=0,"-",_xll.ciqfunctions.udf.CIQ($A9,"IQ_TOTAL_LIAB",$O$1,$D$2,,,$D$3,$G$1)))</f>
        <v>24838.322479999999</v>
      </c>
      <c r="CA9" s="31" t="str">
        <f>IF($A9="","",IF(_xll.ciqfunctions.udf.CIQ($A9,"IQ_CFO_CURRENT_LIAB",$BL$1,$D$2)=0,"-",_xll.ciqfunctions.udf.CIQ($A9,"IQ_CFO_CURRENT_LIAB",$BL$1,$D$2)))</f>
        <v>-</v>
      </c>
      <c r="CB9" s="27" t="str">
        <f>IF($A9="","",IF(_xll.ciqfunctions.udf.CIQ($A9,"IQ_PENSION_LT_LIAB",$O$1,$D$2,,,$D$3,$G$1)=0,"-",_xll.ciqfunctions.udf.CIQ($A9,"IQ_PENSION_LT_LIAB",$O$1,$D$2,,,$D$3,$G$1)))</f>
        <v>-</v>
      </c>
      <c r="CC9" s="27">
        <f>IF($A9="","",IF(_xll.ciqfunctions.udf.CIQ($A9,"IQ_OTHER_LIAB_LT",$O$1,$D$2,,,$D$3,$G$1)=0,"-",_xll.ciqfunctions.udf.CIQ($A9,"IQ_OTHER_LIAB_LT",$O$1,$D$2,,,$D$3,$G$1)))</f>
        <v>2720.8208599999998</v>
      </c>
      <c r="CD9" s="27">
        <f>IF($A9="","",IF(_xll.ciqfunctions.udf.CIQ($A9,"IQ_TOTAL_LIAB_EQUITY",$O$1,$D$2,,,$D$3,$G$1)=0,"-",_xll.ciqfunctions.udf.CIQ($A9,"IQ_TOTAL_LIAB_EQUITY",$O$1,$D$2,,,$D$3,$G$1)))</f>
        <v>36518.18533</v>
      </c>
      <c r="CE9" s="27" t="str">
        <f>IF($A9="","",IF(_xll.ciqfunctions.udf.CIQ($A9,"IQ_OPEB_CL",$O$1,$D$2,,,$D$3,$G$1)=0,"-",_xll.ciqfunctions.udf.CIQ($A9,"IQ_OPEB_CL",$O$1,$D$2,,,$D$3,$G$1)))</f>
        <v>-</v>
      </c>
      <c r="CF9" s="27" t="str">
        <f>IF($A9="","",IF(_xll.ciqfunctions.udf.CIQ($A9,"IQ_INS_ANNUITY_LIAB",$O$1,$D$2,,,$D$3,$G$1)=0,"-",_xll.ciqfunctions.udf.CIQ($A9,"IQ_INS_ANNUITY_LIAB",$O$1,$D$2,,,$D$3,$G$1)))</f>
        <v>-</v>
      </c>
      <c r="CG9" s="27" t="str">
        <f>IF($A9="","",IF(_xll.ciqfunctions.udf.CIQ($A9,"IQ_ANNUITY_LIAB",$BL$1,$D$2,,,$D$3,$G$1)=0,"-",_xll.ciqfunctions.udf.CIQ($A9,"IQ_ANNUITY_LIAB",$BL$1,$D$2,,,$D$3,$G$1)))</f>
        <v>-</v>
      </c>
      <c r="CH9" s="27" t="str">
        <f>IF($A9="","",IF(_xll.ciqfunctions.udf.CIQ($A9,"IQ_OPEB_CL_DOM",$O$1,$D$2,,,$D$3,$G$1)=0,"-",_xll.ciqfunctions.udf.CIQ($A9,"IQ_OPEB_CL_DOM",$O$1,$D$2,,,$D$3,$G$1)))</f>
        <v>-</v>
      </c>
      <c r="CI9" s="27" t="str">
        <f>IF($A9="","",IF(_xll.ciqfunctions.udf.CIQ($A9,"IQ_DERIVATIVE_LIABILITIES_TOTAL_BEFORE_NETTING_THRIFT",$U$1,$D$2,,,$D$3,$G$1)=0,"-",_xll.ciqfunctions.udf.CIQ($A9,"IQ_DERIVATIVE_LIABILITIES_TOTAL_BEFORE_NETTING_THRIFT",$U$1,$D$2,,,$D$3,$G$1)))</f>
        <v>-</v>
      </c>
      <c r="CJ9" s="30">
        <f>IF($A9="","",IF(_xll.ciqfunctions.udf.CIQ($A9,"IQ_EARNING_CO_5YR_ANN_CAGR",$AZ$1,$D$2)=0,"-",IF(ISTEXT(_xll.ciqfunctions.udf.CIQ($A9,"IQ_EARNING_CO_5YR_ANN_CAGR",$AZ$1,$D$2)),_xll.ciqfunctions.udf.CIQ($A9,"IQ_EARNING_CO_5YR_ANN_CAGR",$AZ$1,$D$2),IFERROR(_xll.ciqfunctions.udf.CIQ($A9,"IQ_EARNING_CO_5YR_ANN_CAGR",$AZ$1,$D$2)/100,"-"))))</f>
        <v>7.4958999999999998E-2</v>
      </c>
      <c r="CK9" s="27" t="str">
        <f>IF($A9="","",IF(_xll.ciqfunctions.udf.CIQ($A9,"IQ_IPRD",$U$1,$D$2,,,$D$3,$G$1)=0,"-",_xll.ciqfunctions.udf.CIQ($A9,"IQ_IPRD",$U$1,$D$2,,,$D$3,$G$1)))</f>
        <v>-</v>
      </c>
      <c r="CL9" s="27" t="str">
        <f>IF($A9="","",IF(_xll.ciqfunctions.udf.CIQ($A9,"IQ_INS_SETTLE",$U$1,$D$2,,,$D$3,$G$1)=0,"-",_xll.ciqfunctions.udf.CIQ($A9,"IQ_INS_SETTLE",$U$1,$D$2,,,$D$3,$G$1)))</f>
        <v>-</v>
      </c>
      <c r="CM9" s="27" t="str">
        <f>IF($A9="","",IF(_xll.ciqfunctions.udf.CIQ($A9,"IQ_LEGAL_SETTLE",$U$1,$D$2,,,$D$3,$G$1)=0,"-",_xll.ciqfunctions.udf.CIQ($A9,"IQ_LEGAL_SETTLE",$U$1,$D$2,,,$D$3,$G$1)))</f>
        <v>-</v>
      </c>
      <c r="CN9" s="27" t="str">
        <f>IF($A9="","",IF(_xll.ciqfunctions.udf.CIQ($A9,"IQ_DO",$U$1,$D$2,,,$D$3,$G$1)=0,"-",_xll.ciqfunctions.udf.CIQ($A9,"IQ_DO",$U$1,$D$2,,,$D$3,$G$1)))</f>
        <v>-</v>
      </c>
      <c r="CO9" s="27">
        <f>IF($A9="","",IF(_xll.ciqfunctions.udf.CIQ($A9,"IQ_NI_COMPANY",$U$1,$D$2,,,$D$3,$G$1)=0,"-",_xll.ciqfunctions.udf.CIQ($A9,"IQ_NI_COMPANY",$U$1,$D$2,,,$D$3,$G$1)))</f>
        <v>1751.1460099999999</v>
      </c>
      <c r="CP9" s="27">
        <f>IF($A9="","",IF(_xll.ciqfunctions.udf.CIQ($A9,"IQ_MINORITY_INTEREST_IS",$U$1,$D$2,,,$D$3,$G$1)=0,"-",_xll.ciqfunctions.udf.CIQ($A9,"IQ_MINORITY_INTEREST_IS",$U$1,$D$2,,,$D$3,$G$1)))</f>
        <v>-58.317619999999998</v>
      </c>
      <c r="CQ9" s="28">
        <f>IF($A9="","",IF(_xll.ciqfunctions.udf.CIQ($A9,"IQ_BASIC_EPS_INCL",$U$1,$D$2,,,$D$3,$G$1)=0,"-",_xll.ciqfunctions.udf.CIQ($A9,"IQ_BASIC_EPS_INCL",$U$1,$D$2,,,$D$3,$G$1)))</f>
        <v>0.34860999999999998</v>
      </c>
      <c r="CR9" s="27">
        <f>IF($A9="","",IF(_xll.ciqfunctions.udf.CIQ($A9,"IQ_BASIC_WEIGHT",$U$1,$D$2)=0,"-",_xll.ciqfunctions.udf.CIQ($A9,"IQ_BASIC_WEIGHT",$U$1,$D$2)))</f>
        <v>4855.9049599999998</v>
      </c>
      <c r="CS9" s="34" t="str">
        <f>IF($A9="","",IF(_xll.ciqfunctions.udf.CIQ($A9,"IQ_DPS_CORP_TAX",$U$1,$D$2)=0,"-",IF(ISTEXT(_xll.ciqfunctions.udf.CIQ($A9,"IQ_DPS_CORP_TAX",$U$1,$D$2)),_xll.ciqfunctions.udf.CIQ($A9,"IQ_DPS_CORP_TAX",$U$1,$D$2),IFERROR(_xll.ciqfunctions.udf.CIQ($A9,"IQ_DPS_CORP_TAX",$U$1,$D$2)/100,"-"))))</f>
        <v>-</v>
      </c>
      <c r="CT9" s="34">
        <f>IF($A9="","",IF(_xll.ciqfunctions.udf.CIQ($A9,"IQ_PAYOUT_RATIO",$U$1,$D$2)=0,"-",IF(ISTEXT(_xll.ciqfunctions.udf.CIQ($A9,"IQ_PAYOUT_RATIO",$U$1,$D$2)),_xll.ciqfunctions.udf.CIQ($A9,"IQ_PAYOUT_RATIO",$U$1,$D$2),IFERROR(_xll.ciqfunctions.udf.CIQ($A9,"IQ_PAYOUT_RATIO",$U$1,$D$2)/100,"-"))))</f>
        <v>0.31998500000000002</v>
      </c>
      <c r="CU9" s="27">
        <f>IF($A9="","",IF(_xll.ciqfunctions.udf.CIQ($A9,"IQ_EBITA",$U$1,$D$2,,,$D$3,$G$1)=0,"-",_xll.ciqfunctions.udf.CIQ($A9,"IQ_EBITA",$U$1,$D$2,,,$D$3,$G$1)))</f>
        <v>2898.7703200000001</v>
      </c>
      <c r="CV9" s="27">
        <f>IF($A9="","",IF(_xll.ciqfunctions.udf.CIQ($A9,"IQ_EBITDAR",$U$1,$D$2,,,$D$3,$G$1)=0,"-",_xll.ciqfunctions.udf.CIQ($A9,"IQ_EBITDAR",$U$1,$D$2,,,$D$3,$G$1)))</f>
        <v>3906.04306</v>
      </c>
      <c r="CW9" s="27">
        <f>IF($A9="","",IF(_xll.ciqfunctions.udf.CIQ($A9,"IQ_EBITDA_CAPEX",$U$1,$D$2,,,$D$3,$G$1)=0,"-",_xll.ciqfunctions.udf.CIQ($A9,"IQ_EBITDA_CAPEX",$U$1,$D$2,,,$D$3,$G$1)))</f>
        <v>1396.9672</v>
      </c>
      <c r="CX9" s="34">
        <f>IF($A9="","",IF(_xll.ciqfunctions.udf.CIQ($A9,"IQ_EFFECT_TAX_RATE",$U$1,$D$2)=0,"-",IF(ISTEXT(_xll.ciqfunctions.udf.CIQ($A9,"IQ_EFFECT_TAX_RATE",$U$1,$D$2)),_xll.ciqfunctions.udf.CIQ($A9,"IQ_EFFECT_TAX_RATE",$U$1,$D$2),IFERROR(_xll.ciqfunctions.udf.CIQ($A9,"IQ_EFFECT_TAX_RATE",$U$1,$D$2)/100,"-"))))</f>
        <v>0.32753700000000002</v>
      </c>
      <c r="CY9" s="27">
        <f>IF($A9="","",IF(_xll.ciqfunctions.udf.CIQ($A9,"IQ_TOTAL_REV_AS_REPORTED",$U$1,$D$2,,,$D$3,$G$1)=0,"-",_xll.ciqfunctions.udf.CIQ($A9,"IQ_TOTAL_REV_AS_REPORTED",$U$1,$D$2,,,$D$3,$G$1)))</f>
        <v>54043.410770000002</v>
      </c>
      <c r="CZ9" s="27" t="str">
        <f>IF($A9="","",IF(_xll.ciqfunctions.udf.CIQ($A9,"IQ_ADVERTISING",$U$1,$D$2,,,$D$3,$G$1)=0,"-",_xll.ciqfunctions.udf.CIQ($A9,"IQ_ADVERTISING",$U$1,$D$2,,,$D$3,$G$1)))</f>
        <v>-</v>
      </c>
      <c r="DA9" s="27" t="str">
        <f>IF($A9="","",IF(_xll.ciqfunctions.udf.CIQ($A9,"IQ_MARKETING",$U$1,$D$2,,,$D$3,$G$1)=0,"-",_xll.ciqfunctions.udf.CIQ($A9,"IQ_MARKETING",$U$1,$D$2,,,$D$3,$G$1)))</f>
        <v>-</v>
      </c>
      <c r="DB9" s="27" t="str">
        <f>IF($A9="","",IF(_xll.ciqfunctions.udf.CIQ($A9,"IQ_SALES_MARKETING",$U$1,$D$2,,,$D$3,$G$1)=0,"-",_xll.ciqfunctions.udf.CIQ($A9,"IQ_SALES_MARKETING",$U$1,$D$2,,,$D$3,$G$1)))</f>
        <v>-</v>
      </c>
      <c r="DC9" s="27" t="str">
        <f>IF($A9="","",IF(_xll.ciqfunctions.udf.CIQ($A9,"IQ_GA_EXP",$U$1,$D$2,,,$D$3,$G$1)=0,"-",_xll.ciqfunctions.udf.CIQ($A9,"IQ_GA_EXP",$U$1,$D$2,,,$D$3,$G$1)))</f>
        <v>-</v>
      </c>
      <c r="DD9" s="27" t="str">
        <f>IF($A9="","",IF(_xll.ciqfunctions.udf.CIQ($A9,"IQ_RD_EXP",$U$1,$D$2,,,$D$3,$G$1)=0,"-",_xll.ciqfunctions.udf.CIQ($A9,"IQ_RD_EXP",$U$1,$D$2,,,$D$3,$G$1)))</f>
        <v>-</v>
      </c>
      <c r="DE9" s="27">
        <f>IF($A9="","",IF(_xll.ciqfunctions.udf.CIQ($A9,"IQ_DILUT_NI",$U$1,$D$2,,,$D$3,$G$1)=0,"-",_xll.ciqfunctions.udf.CIQ($A9,"IQ_DILUT_NI",$U$1,$D$2,,,$D$3,$G$1)))</f>
        <v>1692.88096</v>
      </c>
      <c r="DF9" s="27">
        <f>IF($A9="","",IF(_xll.ciqfunctions.udf.CIQ($A9,"IQ_IMPUT_OPER_LEASE_INT_EXP",$U$1,$D$2,,,$D$3,$G$1)=0,"-",_xll.ciqfunctions.udf.CIQ($A9,"IQ_IMPUT_OPER_LEASE_INT_EXP",$U$1,$D$2,,,$D$3,$G$1)))</f>
        <v>54.631279999999997</v>
      </c>
      <c r="DG9" s="27">
        <f>IF($A9="","",IF(_xll.ciqfunctions.udf.CIQ($A9,"IQ_IMPUT_OPER_LEASE_DEPR",$U$1,$D$2,,,$D$3,$G$1)=0,"-",_xll.ciqfunctions.udf.CIQ($A9,"IQ_IMPUT_OPER_LEASE_DEPR",$U$1,$D$2,,,$D$3,$G$1)))</f>
        <v>91.535449999999997</v>
      </c>
      <c r="DH9" s="27" t="str">
        <f>IF($A9="","",IF(_xll.ciqfunctions.udf.CIQ($A9,"IQ_STOCK_BASED",$U$1,$D$2,,,$D$3,$G$1)=0,"-",_xll.ciqfunctions.udf.CIQ($A9,"IQ_STOCK_BASED",$U$1,$D$2,,,$D$3,$G$1)))</f>
        <v>-</v>
      </c>
      <c r="DI9" s="27" t="str">
        <f>IF($A9="","",IF(_xll.ciqfunctions.udf.CIQ($A9,"IQ_STOCK_BASED_GA",$U$1,$D$2,,,$D$3,$G$1)=0,"-",_xll.ciqfunctions.udf.CIQ($A9,"IQ_STOCK_BASED_GA",$U$1,$D$2,,,$D$3,$G$1)))</f>
        <v>-</v>
      </c>
      <c r="DJ9" s="27" t="str">
        <f>IF($A9="","",IF(_xll.ciqfunctions.udf.CIQ($A9,"IQ_STOCK_BASED_RD",$U$1,$D$2,,,$D$3,$G$1)=0,"-",_xll.ciqfunctions.udf.CIQ($A9,"IQ_STOCK_BASED_RD",$U$1,$D$2,,,$D$3,$G$1)))</f>
        <v>-</v>
      </c>
      <c r="DK9" s="27" t="str">
        <f>IF($A9="","",IF(_xll.ciqfunctions.udf.CIQ($A9,"IQ_STOCK_BASED_SM",$U$1,$D$2,,,$D$3,$G$1)=0,"-",_xll.ciqfunctions.udf.CIQ($A9,"IQ_STOCK_BASED_SM",$U$1,$D$2,,,$D$3,$G$1)))</f>
        <v>-</v>
      </c>
      <c r="DL9" s="27" t="str">
        <f>IF($A9="","",IF(_xll.ciqfunctions.udf.CIQ($A9,"IQ_STOCK_BASED_TOTAL",$U$1,$D$2,,,$D$3,$G$1)=0,"-",_xll.ciqfunctions.udf.CIQ($A9,"IQ_STOCK_BASED_TOTAL",$U$1,$D$2,,,$D$3,$G$1)))</f>
        <v>-</v>
      </c>
      <c r="DM9" s="27" t="str">
        <f>IF($A9="","",IF(_xll.ciqfunctions.udf.CIQ($A9,"IQ_STOCK_BASED_SGA",$U$1,$D$2,,,$D$3,$G$1)=0,"-",_xll.ciqfunctions.udf.CIQ($A9,"IQ_STOCK_BASED_SGA",$U$1,$D$2,,,$D$3,$G$1)))</f>
        <v>-</v>
      </c>
      <c r="DN9" s="27" t="str">
        <f>IF($A9="","",IF(_xll.ciqfunctions.udf.CIQ($A9,"IQ_DISTRIBUTABLE_CASH",$U$1,$D$2,,,$D$3,$G$1)=0,"-",_xll.ciqfunctions.udf.CIQ($A9,"IQ_DISTRIBUTABLE_CASH",$U$1,$D$2,,,$D$3,$G$1)))</f>
        <v>-</v>
      </c>
      <c r="DO9" s="27" t="str">
        <f>IF($A9="","",IF(_xll.ciqfunctions.udf.CIQ($A9,"IQ_DIC",$U$1,$D$2,,,$D$3,$G$1)=0,"-",_xll.ciqfunctions.udf.CIQ($A9,"IQ_DIC",$U$1,$D$2,,,$D$3,$G$1)))</f>
        <v>-</v>
      </c>
      <c r="DP9" s="27">
        <f>IF($A9="","",IF(_xll.ciqfunctions.udf.CIQ($A9,"IQ_ST_INVEST",$DO$1,$D$2,,,$D$3,$G$1)=0,"-",_xll.ciqfunctions.udf.CIQ($A9,"IQ_ST_INVEST",$DO$1,$D$2,,,$D$3,$G$1)))</f>
        <v>1057.8725199999999</v>
      </c>
      <c r="DQ9" s="27">
        <f>IF($A9="","",IF(_xll.ciqfunctions.udf.CIQ($A9,"IQ_AR",$DO$1,$D$2,,,$D$3,$G$1)=0,"-",_xll.ciqfunctions.udf.CIQ($A9,"IQ_AR",$DO$1,$D$2,,,$D$3,$G$1)))</f>
        <v>1315.3708200000001</v>
      </c>
      <c r="DR9" s="27">
        <f>IF($A9="","",IF(_xll.ciqfunctions.udf.CIQ($A9,"IQ_OTHER_RECEIV",$DO$1,$D$2,,,$D$3,$G$1)=0,"-",_xll.ciqfunctions.udf.CIQ($A9,"IQ_OTHER_RECEIV",$DO$1,$D$2,,,$D$3,$G$1)))</f>
        <v>2028.3998799999999</v>
      </c>
      <c r="DS9" s="27" t="str">
        <f>IF($A9="","",IF(_xll.ciqfunctions.udf.CIQ($A9,"IQ_ST_NOTE_RECEIV",$DO$1,$D$2,,,$D$3,$G$1)=0,"-",_xll.ciqfunctions.udf.CIQ($A9,"IQ_ST_NOTE_RECEIV",$DO$1,$D$2,,,$D$3,$G$1)))</f>
        <v>-</v>
      </c>
      <c r="DT9" s="27">
        <f>IF($A9="","",IF(_xll.ciqfunctions.udf.CIQ($A9,"IQ_TOTAL_RECEIV",$DO$1,$D$2,,,$D$3,$G$1)=0,"-",_xll.ciqfunctions.udf.CIQ($A9,"IQ_TOTAL_RECEIV",$DO$1,$D$2,,,$D$3,$G$1)))</f>
        <v>3343.7707</v>
      </c>
      <c r="DU9" s="27" t="str">
        <f>IF($A9="","",IF(_xll.ciqfunctions.udf.CIQ($A9,"IQ_PREPAID_EXP",$DO$1,$D$2,,,$D$3,$G$1)=0,"-",_xll.ciqfunctions.udf.CIQ($A9,"IQ_PREPAID_EXP",$DO$1,$D$2,,,$D$3,$G$1)))</f>
        <v>-</v>
      </c>
      <c r="DV9" s="27" t="str">
        <f>IF($A9="","",IF(_xll.ciqfunctions.udf.CIQ($A9,"IQ_FIN_DIV_LOANS_LT",$DO$1,$D$2,,,$D$3,$G$1)=0,"-",_xll.ciqfunctions.udf.CIQ($A9,"IQ_FIN_DIV_LOANS_LT",$DO$1,$D$2,,,$D$3,$G$1)))</f>
        <v>-</v>
      </c>
      <c r="DW9" s="27" t="str">
        <f>IF($A9="","",IF(_xll.ciqfunctions.udf.CIQ($A9,"IQ_FIN_DIV_ASSETS_CURRENT",$DO$1,$D$2,,,$D$3,$G$1)=0,"-",_xll.ciqfunctions.udf.CIQ($A9,"IQ_FIN_DIV_ASSETS_CURRENT",$DO$1,$D$2,,,$D$3,$G$1)))</f>
        <v>-</v>
      </c>
      <c r="DX9" s="27">
        <f>IF($A9="","",IF(_xll.ciqfunctions.udf.CIQ($A9,"IQ_OTHER_CA_SUPPL",$DO$1,$D$2,,,$D$3,$G$1)=0,"-",_xll.ciqfunctions.udf.CIQ($A9,"IQ_OTHER_CA_SUPPL",$DO$1,$D$2,,,$D$3,$G$1)))</f>
        <v>3197.9132800000002</v>
      </c>
      <c r="DY9" s="27">
        <f>IF($A9="","",IF(_xll.ciqfunctions.udf.CIQ($A9,"IQ_OTHER_CA",$DO$1,$D$2,,,$D$3,$G$1)=0,"-",_xll.ciqfunctions.udf.CIQ($A9,"IQ_OTHER_CA",$DO$1,$D$2,,,$D$3,$G$1)))</f>
        <v>3197.9132800000002</v>
      </c>
      <c r="DZ9" s="27" t="str">
        <f>IF($A9="","",IF(_xll.ciqfunctions.udf.CIQ($A9,"IQ_LOANS_FOR_SALE",$DO$1,$D$2,,,$D$3,$G$1)=0,"-",_xll.ciqfunctions.udf.CIQ($A9,"IQ_LOANS_FOR_SALE",$DO$1,$D$2,,,$D$3,$G$1)))</f>
        <v>-</v>
      </c>
      <c r="EA9" s="27" t="str">
        <f>IF($A9="","",IF(_xll.ciqfunctions.udf.CIQ($A9,"IQ_RESTRICTED_CASH",$DO$1,$D$2,,,$D$3,$G$1)=0,"-",_xll.ciqfunctions.udf.CIQ($A9,"IQ_RESTRICTED_CASH",$DO$1,$D$2,,,$D$3,$G$1)))</f>
        <v>-</v>
      </c>
      <c r="EB9" s="27">
        <f>IF($A9="","",IF(_xll.ciqfunctions.udf.CIQ($A9,"IQ_GPPE",$DO$1,$D$2,,,$D$3,$G$1)=0,"-",_xll.ciqfunctions.udf.CIQ($A9,"IQ_GPPE",$DO$1,$D$2,,,$D$3,$G$1)))</f>
        <v>28446.571489999998</v>
      </c>
      <c r="EC9" s="27">
        <f>IF($A9="","",IF(_xll.ciqfunctions.udf.CIQ($A9,"IQ_AD",$DO$1,$D$2,,,$D$3,$G$1)=0,"-",-_xll.ciqfunctions.udf.CIQ($A9,"IQ_AD",$DO$1,$D$2,,,$D$3,$G$1)))</f>
        <v>9758.1593200000007</v>
      </c>
      <c r="ED9" s="27">
        <f>IF($A9="","",IF(_xll.ciqfunctions.udf.CIQ($A9,"IQ_LT_INVEST",$DO$1,$D$2,,,$D$3,$G$1)=0,"-",_xll.ciqfunctions.udf.CIQ($A9,"IQ_LT_INVEST",$DO$1,$D$2,,,$D$3,$G$1)))</f>
        <v>1307.67109</v>
      </c>
      <c r="EE9" s="27">
        <f>IF($A9="","",IF(_xll.ciqfunctions.udf.CIQ($A9,"IQ_GW",$DO$1,$D$2,,,$D$3,$G$1)=0,"-",_xll.ciqfunctions.udf.CIQ($A9,"IQ_GW",$DO$1,$D$2,,,$D$3,$G$1)))</f>
        <v>12.03018</v>
      </c>
      <c r="EF9" s="27">
        <f>IF($A9="","",IF(_xll.ciqfunctions.udf.CIQ($A9,"IQ_OTHER_INTAN",$DO$1,$D$2,,,$D$3,$G$1)=0,"-",_xll.ciqfunctions.udf.CIQ($A9,"IQ_OTHER_INTAN",$DO$1,$D$2,,,$D$3,$G$1)))</f>
        <v>690.45946000000004</v>
      </c>
      <c r="EG9" s="27" t="str">
        <f>IF($A9="","",IF(_xll.ciqfunctions.udf.CIQ($A9,"IQ_FIN_DIV_ASSETS_LT",$DO$1,$D$2,,,$D$3,$G$1)=0,"-",_xll.ciqfunctions.udf.CIQ($A9,"IQ_FIN_DIV_ASSETS_LT",$DO$1,$D$2,,,$D$3,$G$1)))</f>
        <v>-</v>
      </c>
      <c r="EH9" s="27">
        <f>IF($A9="","",IF(_xll.ciqfunctions.udf.CIQ($A9,"IQ_OTHER_ASSETS",$DO$1,$D$2,,,$D$3,$G$1)=0,"-",_xll.ciqfunctions.udf.CIQ($A9,"IQ_OTHER_ASSETS",$DO$1,$D$2,,,$D$3,$G$1)))</f>
        <v>1564.70768</v>
      </c>
      <c r="EI9" s="27">
        <f>IF($A9="","",IF(_xll.ciqfunctions.udf.CIQ($A9,"IQ_AP",$DO$1,$D$2,,,$D$3,$G$1)=0,"-",_xll.ciqfunctions.udf.CIQ($A9,"IQ_AP",$DO$1,$D$2,,,$D$3,$G$1)))</f>
        <v>3760.2354300000002</v>
      </c>
      <c r="EJ9" s="27">
        <f>IF($A9="","",IF(_xll.ciqfunctions.udf.CIQ($A9,"IQ_AE",$DO$1,$D$2,,,$D$3,$G$1)=0,"-",_xll.ciqfunctions.udf.CIQ($A9,"IQ_AE",$DO$1,$D$2,,,$D$3,$G$1)))</f>
        <v>1444.95966</v>
      </c>
      <c r="EK9" s="27">
        <f>IF($A9="","",IF(_xll.ciqfunctions.udf.CIQ($A9,"IQ_LT_DEBT",$DO$1,$D$2,,,$D$3,$G$1)=0,"-",_xll.ciqfunctions.udf.CIQ($A9,"IQ_LT_DEBT",$DO$1,$D$2,,,$D$3,$G$1)))</f>
        <v>4062.2543000000001</v>
      </c>
      <c r="EL9" s="27">
        <f>IF($A9="","",IF(_xll.ciqfunctions.udf.CIQ($A9,"IQ_CAPITAL_LEASES",$DO$1,$D$2,,,$D$3,$G$1)=0,"-",_xll.ciqfunctions.udf.CIQ($A9,"IQ_CAPITAL_LEASES",$DO$1,$D$2,,,$D$3,$G$1)))</f>
        <v>519.73293999999999</v>
      </c>
      <c r="EM9" s="27">
        <f>IF($A9="","",IF(_xll.ciqfunctions.udf.CIQ($A9,"IQ_COMMON",$DO$1,$D$2,,,$D$3,$G$1)=0,"-",_xll.ciqfunctions.udf.CIQ($A9,"IQ_COMMON",$DO$1,$D$2,,,$D$3,$G$1)))</f>
        <v>366.34478000000001</v>
      </c>
      <c r="EN9" s="27">
        <f>IF($A9="","",IF(_xll.ciqfunctions.udf.CIQ($A9,"IQ_COMMON_APIC",$DO$1,$D$2,,,$D$3,$G$1)=0,"-",_xll.ciqfunctions.udf.CIQ($A9,"IQ_COMMON_APIC",$DO$1,$D$2,,,$D$3,$G$1)))</f>
        <v>379.83251999999999</v>
      </c>
      <c r="EO9" s="27">
        <f>IF($A9="","",IF(_xll.ciqfunctions.udf.CIQ($A9,"IQ_APIC",$DO$1,$D$2,,,$D$3,$G$1)=0,"-",_xll.ciqfunctions.udf.CIQ($A9,"IQ_APIC",$DO$1,$D$2,,,$D$3,$G$1)))</f>
        <v>13.487740000000001</v>
      </c>
      <c r="EP9" s="27">
        <f>IF($A9="","",IF(_xll.ciqfunctions.udf.CIQ($A9,"IQ_RE",$DO$1,$D$2,,,$D$3,$G$1)=0,"-",_xll.ciqfunctions.udf.CIQ($A9,"IQ_RE",$DO$1,$D$2,,,$D$3,$G$1)))</f>
        <v>10634.55314</v>
      </c>
      <c r="EQ9" s="27" t="str">
        <f>IF($A9="","",IF(_xll.ciqfunctions.udf.CIQ($A9,"IQ_TREASURY",$DO$1,$D$2,,,$D$3,$G$1)=0,"-",_xll.ciqfunctions.udf.CIQ($A9,"IQ_TREASURY",$DO$1,$D$2,,,$D$3,$G$1)))</f>
        <v>-</v>
      </c>
      <c r="ER9" s="27">
        <f>IF($A9="","",IF(_xll.ciqfunctions.udf.CIQ($A9,"IQ_TOTAL_OUTSTANDING_FILING_DATE",$DO$1,$D$2)=0,"-",_xll.ciqfunctions.udf.CIQ($A9,"IQ_TOTAL_OUTSTANDING_FILING_DATE",$DO$1,$D$2)))</f>
        <v>4855.9049599999998</v>
      </c>
      <c r="ES9" s="27">
        <f>IF($A9="","",IF(_xll.ciqfunctions.udf.CIQ($A9,"IQ_TBV",$DO$1,$D$2,,,$D$3,$G$1)=0,"-",_xll.ciqfunctions.udf.CIQ($A9,"IQ_TBV",$DO$1,$D$2,,,$D$3,$G$1)))</f>
        <v>10763.96997</v>
      </c>
      <c r="ET9" s="27">
        <f>IF($A9="","",IF(_xll.ciqfunctions.udf.CIQ($A9,"IQ_GW_INTAN",$DO$1,$D$2,,,$D$3,$G$1)=0,"-",_xll.ciqfunctions.udf.CIQ($A9,"IQ_GW_INTAN",$DO$1,$D$2,,,$D$3,$G$1)))</f>
        <v>702.48964000000001</v>
      </c>
      <c r="EU9" s="27">
        <f>IF($A9="","",IF(_xll.ciqfunctions.udf.CIQ($A9,"IQ_TOTAL_CAP",$DO$1,$D$2,,,$D$3,$G$1)=0,"-",_xll.ciqfunctions.udf.CIQ($A9,"IQ_TOTAL_CAP",$DO$1,$D$2,,,$D$3,$G$1)))</f>
        <v>20933.44427</v>
      </c>
      <c r="EV9" s="27" t="str">
        <f>IF($A9="","",IF(_xll.ciqfunctions.udf.CIQ($A9,"IQ_WORKING_CAP",$EU$1,$D$2,,,$D$3,$G$1)=0,"-",_xll.ciqfunctions.udf.CIQ($A9,"IQ_WORKING_CAP",$EU$1,$D$2,,,$D$3,$G$1)))</f>
        <v>-</v>
      </c>
      <c r="EW9" s="27" t="str">
        <f>IF($A9="","",IF(_xll.ciqfunctions.udf.CIQ($A9,"IQ_LIFOR",$DO$1,$D$2,,,$D$3,$G$1)=0,"-",_xll.ciqfunctions.udf.CIQ($A9,"IQ_LIFOR",$DO$1,$D$2,,,$D$3,$G$1)))</f>
        <v>-</v>
      </c>
      <c r="EX9" s="33">
        <f>IF($A9="","",IF(_xll.ciqfunctions.udf.CIQ($A9,"IQ_TOTAL_EMPLOYEES",$DO$1,$D$2)=0,"-",_xll.ciqfunctions.udf.CIQ($A9,"IQ_TOTAL_EMPLOYEES",$DO$1,$D$2)))</f>
        <v>32803</v>
      </c>
      <c r="EY9" s="32" t="str">
        <f>IF($A9="","",IF(_xll.ciqfunctions.udf.CIQ($A9,"IQ_EQUITY_METHOD",$DO$1,$D$2,,,$D$3,$G$1)=0,"-",_xll.ciqfunctions.udf.CIQ($A9,"IQ_EQUITY_METHOD",$DO$1,$D$2,,,$D$3,$G$1)))</f>
        <v>-</v>
      </c>
      <c r="EZ9" s="33">
        <f>IF($A9="","",IF(_xll.ciqfunctions.udf.CIQ($A9,"IQ_FULL_TIME",$DO$1,$D$2)=0,"-",_xll.ciqfunctions.udf.CIQ($A9,"IQ_FULL_TIME",$DO$1,$D$2)))</f>
        <v>32803</v>
      </c>
      <c r="FA9" s="27">
        <f>IF($A9="","",IF(_xll.ciqfunctions.udf.CIQ($A9,"IQ_WIP_INV",$DO$1,$D$2,,,$D$3,$G$1)=0,"-",_xll.ciqfunctions.udf.CIQ($A9,"IQ_WIP_INV",$DO$1,$D$2,,,$D$3,$G$1)))</f>
        <v>426.37495999999999</v>
      </c>
      <c r="FB9" s="27">
        <f>IF($A9="","",IF(_xll.ciqfunctions.udf.CIQ($A9,"IQ_CIP",$DO$1,$D$2,,,$D$3,$G$1)=0,"-",_xll.ciqfunctions.udf.CIQ($A9,"IQ_CIP",$DO$1,$D$2,,,$D$3,$G$1)))</f>
        <v>3415.1913</v>
      </c>
      <c r="FC9" s="27">
        <f>IF($A9="","",IF(_xll.ciqfunctions.udf.CIQ($A9,"IQ_DEBT_EQUIV_OPER_LEASE",$DO$1,$D$2,,,$D$3,$G$1)=0,"-",_xll.ciqfunctions.udf.CIQ($A9,"IQ_DEBT_EQUIV_OPER_LEASE",$DO$1,$D$2,,,$D$3,$G$1)))</f>
        <v>1169.33385</v>
      </c>
      <c r="FD9" s="30">
        <f>IF($A9="","",IF(_xll.ciqfunctions.udf.CIQ($A9,"IQ_COST_BORROWING",$DO$1,$D$2)=0,"-",IF(ISTEXT(_xll.ciqfunctions.udf.CIQ($A9,"IQ_COST_BORROWING",$DO$1,$D$2)),_xll.ciqfunctions.udf.CIQ($A9,"IQ_COST_BORROWING",$DO$1,$D$2),IFERROR(_xll.ciqfunctions.udf.CIQ($A9,"IQ_COST_BORROWING",$DO$1,$D$2)/100,"-"))))</f>
        <v>4.6719999999999998E-2</v>
      </c>
      <c r="FE9" s="27">
        <f>IF($A9="","",IF(_xll.ciqfunctions.udf.CIQ($A9,"IQ_DA_CF",$U$1,$D$2,,,$D$3,$G$1)=0,"-",_xll.ciqfunctions.udf.CIQ($A9,"IQ_DA_CF",$U$1,$D$2,,,$D$3,$G$1)))</f>
        <v>882.62544000000003</v>
      </c>
      <c r="FF9" s="27">
        <f>IF($A9="","",IF(_xll.ciqfunctions.udf.CIQ($A9,"IQ_NON_CASH_ITEMS",$U$1,$D$2,,,$D$3,$G$1)=0,"-",_xll.ciqfunctions.udf.CIQ($A9,"IQ_NON_CASH_ITEMS",$U$1,$D$2,,,$D$3,$G$1)))</f>
        <v>901.68240000000003</v>
      </c>
      <c r="FG9" s="32">
        <f>IF($A9="","",IF(_xll.ciqfunctions.udf.CIQ($A9,"IQ_GAIN_INVEST_CF",$U$1,$D$2,,,$D$3,$G$1)=0,"-",_xll.ciqfunctions.udf.CIQ($A9,"IQ_GAIN_INVEST_CF",$U$1,$D$2,,,$D$3,$G$1)))</f>
        <v>-9.0531900000000007</v>
      </c>
      <c r="FH9" s="27" t="str">
        <f>IF($A9="","",IF(_xll.ciqfunctions.udf.CIQ($A9,"IQ_DO_CF",$U$1,$D$2,,,$D$3,$G$1)=0,"-",_xll.ciqfunctions.udf.CIQ($A9,"IQ_DO_CF",$U$1,$D$2,,,$D$3,$G$1)))</f>
        <v>-</v>
      </c>
      <c r="FI9" s="27">
        <f>IF($A9="","",IF(_xll.ciqfunctions.udf.CIQ($A9,"IQ_OTHER_OPER_ACT",$U$1,$D$2,,,$D$3,$G$1)=0,"-",_xll.ciqfunctions.udf.CIQ($A9,"IQ_OTHER_OPER_ACT",$U$1,$D$2,,,$D$3,$G$1)))</f>
        <v>892.61865</v>
      </c>
      <c r="FJ9" s="27">
        <f>IF($A9="","",IF(_xll.ciqfunctions.udf.CIQ($A9,"IQ_TOTAL_DEBT_ISSUED",$U$1,$D$2,,,$D$3,$G$1)=0,"-",_xll.ciqfunctions.udf.CIQ($A9,"IQ_TOTAL_DEBT_ISSUED",$U$1,$D$2,,,$D$3,$G$1)))</f>
        <v>811.70276999999999</v>
      </c>
      <c r="FK9" s="27">
        <f>IF($A9="","",IF(_xll.ciqfunctions.udf.CIQ($A9,"IQ_TOTAL_DEBT_REPAID",$U$1,$D$2,,,$D$3,$G$1)=0,"-",_xll.ciqfunctions.udf.CIQ($A9,"IQ_TOTAL_DEBT_REPAID",$U$1,$D$2,,,$D$3,$G$1)))</f>
        <v>-1441.7231400000001</v>
      </c>
      <c r="FL9" s="27">
        <f>IF($A9="","",IF(_xll.ciqfunctions.udf.CIQ($A9,"IQ_NET_CHANGE",$U$1,$D$2,,,$D$3,$G$1)=0,"-",_xll.ciqfunctions.udf.CIQ($A9,"IQ_NET_CHANGE",$U$1,$D$2,,,$D$3,$G$1)))</f>
        <v>119.0132</v>
      </c>
      <c r="FM9" s="27" t="str">
        <f>IF($A9="","",IF(_xll.ciqfunctions.udf.CIQ($A9,"IQ_MAINT_CAPEX",$U$1,$D$2,,,$D$3,$G$1)=0,"-",_xll.ciqfunctions.udf.CIQ($A9,"IQ_MAINT_CAPEX",$U$1,$D$2,,,$D$3,$G$1)))</f>
        <v>-</v>
      </c>
      <c r="FN9" s="27" t="str">
        <f>IF($A9="","",IF(_xll.ciqfunctions.udf.CIQ($A9,"IQ_TERM_LOANS",$EU$1,$D$2,,,$D$3,$G$1)=0,"-",_xll.ciqfunctions.udf.CIQ($A9,"IQ_TERM_LOANS",$EU$1,$D$2,,,$D$3,$G$1)))</f>
        <v>-</v>
      </c>
      <c r="FO9" s="27" t="str">
        <f>IF($A9="","",IF(_xll.ciqfunctions.udf.CIQ($A9,"IQ_CAPITAL_LEASES_TOTAL",$EU$1,$D$2,,,$D$3,$G$1)=0,"-",_xll.ciqfunctions.udf.CIQ($A9,"IQ_CAPITAL_LEASES_TOTAL",$EU$1,$D$2,,,$D$3,$G$1)))</f>
        <v>-</v>
      </c>
      <c r="FP9" s="27" t="str">
        <f>IF($A9="","",IF(_xll.ciqfunctions.udf.CIQ($A9,"IQ_TRUST_PREFERRED",$EU$1,$D$2,,,$D$3,$G$1)=0,"-",_xll.ciqfunctions.udf.CIQ($A9,"IQ_TRUST_PREFERRED",$EU$1,$D$2,,,$D$3,$G$1)))</f>
        <v>-</v>
      </c>
      <c r="FQ9" s="27" t="str">
        <f>IF($A9="","",IF(_xll.ciqfunctions.udf.CIQ($A9,"IQ_TOTAL_PRINCIPAL",$EU$1,$D$2,,,$D$3,$G$1)=0,"-",_xll.ciqfunctions.udf.CIQ($A9,"IQ_TOTAL_PRINCIPAL",$EU$1,$D$2,,,$D$3,$G$1)))</f>
        <v>-</v>
      </c>
      <c r="FR9" s="27" t="str">
        <f>IF($A9="","",IF(_xll.ciqfunctions.udf.CIQ($A9,"IQ_BANK_DEBT",$EU$1,$D$2,,,$D$3,$G$1)=0,"-",_xll.ciqfunctions.udf.CIQ($A9,"IQ_BANK_DEBT",$EU$1,$D$2,,,$D$3,$G$1)))</f>
        <v>-</v>
      </c>
      <c r="FS9" s="27" t="str">
        <f>IF($A9="","",IF(_xll.ciqfunctions.udf.CIQ($A9,"IQ_UNDERWRITING_PROFIT",$DO$1,$D$2,,,$D$3,$G$1)=0,"-",_xll.ciqfunctions.udf.CIQ($A9,"IQ_UNDERWRITING_PROFIT",$DO$1,$D$2,,,$D$3,$G$1)))</f>
        <v>-</v>
      </c>
      <c r="FT9" s="27" t="str">
        <f>IF($A9="","",IF(_xll.ciqfunctions.udf.CIQ($A9,"IQ_HG_CASINO_GROSS_PROFIT",$EU$1,$D$2,,,$D$3,$G$1)=0,"-",_xll.ciqfunctions.udf.CIQ($A9,"IQ_HG_CASINO_GROSS_PROFIT",$EU$1,$D$2,,,$D$3,$G$1)))</f>
        <v>-</v>
      </c>
      <c r="FU9" s="27" t="str">
        <f>IF($A9="","",IF(_xll.ciqfunctions.udf.CIQ($A9,"IQ_HG_CASINO_GROSS_PROFIT",$DO$1,$D$2,,,$D$3,$G$1)=0,"-",_xll.ciqfunctions.udf.CIQ($A9,"IQ_HG_CASINO_GROSS_PROFIT",$DO$1,$D$2,,,$D$3,$G$1)))</f>
        <v>-</v>
      </c>
      <c r="FV9" s="27">
        <f>IF($A9="","",IF(_xll.ciqfunctions.udf.CIQ($A9,"IQ_DA_SUPPL",$U$1,$D$2,,,$D$3,$G$1)=0,"-",_xll.ciqfunctions.udf.CIQ($A9,"IQ_DA_SUPPL",$U$1,$D$2,,,$D$3,$G$1)))</f>
        <v>826.95285999999999</v>
      </c>
      <c r="FW9" s="27">
        <f>IF($A9="","",IF(_xll.ciqfunctions.udf.CIQ($A9,"IQ_EST_ACT_FCF",$DO$1,$D$2,,,$D$3,$G$1)=0,"-",_xll.ciqfunctions.udf.CIQ($A9,"IQ_EST_ACT_FCF",$DO$1,$D$2,,,$D$3,$G$1)))</f>
        <v>1723.1007400000001</v>
      </c>
      <c r="FX9" s="27">
        <f>IF($A9="","",IF(_xll.ciqfunctions.udf.CIQ($A9,"IQ_GEO_SEG_REV_TOTAL",$U$1,$D$2,"LFR",,$D$3,$G$1)=0,IF(_xll.ciqfunctions.udf.CIQ($A9,"IQ_TOTAL_REV",$U$1,$D$2,"LFR",,$D$3,$G$1)=0,"-",_xll.ciqfunctions.udf.CIQ($A9,"IQ_TOTAL_REV",$U$1,$D$2,"LFR",,$D$3,$G$1)),_xll.ciqfunctions.udf.CIQ($A9,"IQ_GEO_SEG_REV_TOTAL",$U$1,$D$2,"LFR",,$D$3,$G$1)))</f>
        <v>53704.507709999998</v>
      </c>
      <c r="FY9" s="35" t="str">
        <f>IF($A9="","",GK9&amp;GL9&amp;GM9&amp;GN9&amp;GO9)</f>
        <v>India :51,611.1(96.1%); Export ;2,093.4(3.9%)</v>
      </c>
      <c r="FZ9" s="27" t="str">
        <f>IF($A9="","",IF(_xll.ciqfunctions.udf.CIQ($A9,"IQ_ACTUAL_PRODUCTION_COP",$DO$1,$D$2)=0,"-",_xll.ciqfunctions.udf.CIQ($A9,"IQ_ACTUAL_PRODUCTION_COP",$DO$1,$D$2)))</f>
        <v>-</v>
      </c>
      <c r="GA9" s="27" t="str">
        <f>IF($A9="","",IF(_xll.ciqfunctions.udf.CIQ($A9,"IQ_OG_AVG_DAILY_PROD_NUM_EST",$DO$1,$D$2)=0,"-",_xll.ciqfunctions.udf.CIQ($A9,"IQ_OG_AVG_DAILY_PROD_NUM_EST",$DO$1,$D$2)))</f>
        <v>-</v>
      </c>
      <c r="GB9" s="27" t="str">
        <f>IF($A9="","",IF(_xll.ciqfunctions.udf.CIQ($A9,"IQ_OG_AVG_DAILY_PROD_EST",$DO$1,$D$2)=0,"-",_xll.ciqfunctions.udf.CIQ($A9,"IQ_OG_AVG_DAILY_PROD_EST",$DO$1,$D$2)))</f>
        <v>-</v>
      </c>
      <c r="GC9" s="28">
        <f>IF($A9="","",IF(_xll.ciqfunctions.udf.CIQ($A9,"IQ_DIV_SHARE",$DO$1,$D$2,,,$D$3,$G$1)=0,"-",_xll.ciqfunctions.udf.CIQ($A9,"IQ_DIV_SHARE",$DO$1,$D$2,,,$D$3,$G$1)))</f>
        <v>0.10562000000000001</v>
      </c>
      <c r="GD9" s="27" t="str">
        <f>IF($A9="","",IF(_xll.ciqfunctions.udf.CIQ($A9,"IQ_FFO",$U$1,$D$2,,,$D$3,$G$1)=0,"-",_xll.ciqfunctions.udf.CIQ($A9,"IQ_FFO",$U$1,$D$2,,,$D$3,$G$1)))</f>
        <v>-</v>
      </c>
      <c r="GE9" s="30">
        <f>IF($A9="","",IF(_xll.ciqfunctions.udf.CIQ($A9,"IQ_RETURN_ASSETS",$DO$1,$D$2)=0,"-",IF(ISTEXT(_xll.ciqfunctions.udf.CIQ($A9,"IQ_RETURN_ASSETS",$DO$1,$D$2)),_xll.ciqfunctions.udf.CIQ($A9,"IQ_RETURN_ASSETS",$DO$1,$D$2),IFERROR(_xll.ciqfunctions.udf.CIQ($A9,"IQ_RETURN_ASSETS",$DO$1,$D$2)/100,"-"))))</f>
        <v>5.0099999999999999E-2</v>
      </c>
      <c r="GF9" s="27" t="str">
        <f>IF($A9="","",IF(_xll.ciqfunctions.udf.CIQ($A9,"IQ_FFO_ADJ_REIT_EST",$GE$1,$D$2,,,$D$3,$G$1)=0,"-",_xll.ciqfunctions.udf.CIQ($A9,"IQ_FFO_ADJ_REIT_EST",$GE$1,$D$2,,,$D$3,$G$1)))</f>
        <v>-</v>
      </c>
      <c r="GG9" s="27">
        <f>IF($A9="","",IF(_xll.ciqfunctions.udf.CIQ($A9,"IQ_NI_EST",$DO$1,$D$2,,,$D$3,$G$1)=0,"-",_xll.ciqfunctions.udf.CIQ($A9,"IQ_NI_EST",$DO$1,$D$2,,,$D$3,$G$1)))</f>
        <v>1636.0537400000001</v>
      </c>
      <c r="GH9" s="27" t="str">
        <f>IF($A9="","",IF(_xll.ciqfunctions.udf.CIQ($A9,"IQ_RETAIL_SAME_STORE_SALES",$GG$1,$D$2,,,$D$3,$G$1)=0,"-",_xll.ciqfunctions.udf.CIQ($A9,"IQ_RETAIL_SAME_STORE_SALES",$GG$1,$D$2,,,$D$3,$G$1)))</f>
        <v>-</v>
      </c>
      <c r="GI9" s="27" t="str">
        <f>IF($A9="","",IF(_xll.ciqfunctions.udf.CIQ($A9,"IQ_RETAIL_SAME_STORE_SALES",$GH$1,$D$2,,,$D$3,$G$1)=0,"-",_xll.ciqfunctions.udf.CIQ($A9,"IQ_RETAIL_SAME_STORE_SALES",$GH$1,$D$2,,,$D$3,$G$1)))</f>
        <v>-</v>
      </c>
      <c r="GK9" s="36" t="str">
        <f>IF($A9="","",IF(_xll.ciqfunctions.udf.CIQ($A9,"IQ_GEO_SEG_NAME",$U$1,$D$2,"LFR",,,,GK$8)=0,"",_xll.ciqfunctions.udf.CIQ($A9,"IQ_GEO_SEG_NAME",$U$1,$D$2,"LFR",,,,GK$8)&amp;IF(_xll.ciqfunctions.udf.CIQ($A9,"IQ_GEO_SEG_REV",$U$1,$D$2,"LFR",,$D$3,$G$1,GK$8)=0,""," :"&amp;TEXT(_xll.ciqfunctions.udf.CIQ($A9,"IQ_GEO_SEG_REV",$U$1,$D$2,"LFR",,$D$3,$G$1,GK$8),"#,##.#")&amp;"("&amp;IFERROR(TEXT(_xll.ciqfunctions.udf.CIQ($A9,"IQ_GEO_SEG_REV",$U$1,$D$2,"LFR",,$D$3,$G$1,GK$8)/$FX9,"#.##%")&amp;")","-"))))</f>
        <v>India :51,611.1(96.1%)</v>
      </c>
      <c r="GL9" s="36" t="str">
        <f>IF($A9="","",IF(_xll.ciqfunctions.udf.CIQ($A9,"IQ_GEO_SEG_NAME",$U$1,$D$2,"LFR",,,,GL$8)=0,"",IF(GK9="",IF(_xll.ciqfunctions.udf.CIQ($A9,"IQ_GEO_SEG_NAME",$U$1,$D$2,"LFR",,,,GL$8)=0,"",_xll.ciqfunctions.udf.CIQ($A9,"IQ_GEO_SEG_NAME",$U$1,$D$2,"LFR",,,,GL$8)&amp;IF(_xll.ciqfunctions.udf.CIQ($A9,"IQ_GEO_SEG_REV",$U$1,$D$2,"LFR",,$D$3,$G$1,GL$8)=0,""," :"&amp;TEXT(_xll.ciqfunctions.udf.CIQ($A9,"IQ_GEO_SEG_REV",$U$1,$D$2,"LFR",,$D$3,$G$1,GL$8),"#,##.#")&amp;"("&amp;IFERROR(TEXT(_xll.ciqfunctions.udf.CIQ($A9,"IQ_GEO_SEG_REV",$U$1,$D$2,"LFR",,$D$3,$G$1,GL$8)/$FX9,"#.##%")&amp;")","-"))),"; "&amp;IF(_xll.ciqfunctions.udf.CIQ($A9,"IQ_GEO_SEG_NAME",$U$1,$D$2,"LFR",,,,GL$8)=0,"",_xll.ciqfunctions.udf.CIQ($A9,"IQ_GEO_SEG_NAME",$U$1,$D$2,"LFR",,,,GL$8)&amp;IF(_xll.ciqfunctions.udf.CIQ($A9,"IQ_GEO_SEG_REV",$U$1,$D$2,"LFR",,$D$3,$G$1,GL$8)=0,""," ;"&amp;TEXT(_xll.ciqfunctions.udf.CIQ($A9,"IQ_GEO_SEG_REV",$U$1,$D$2,"LFR",,$D$3,$G$1,GL$8),"#,##.#")&amp;"("&amp;IFERROR(TEXT(_xll.ciqfunctions.udf.CIQ($A9,"IQ_GEO_SEG_REV",$U$1,$D$2,"LFR",,$D$3,$G$1,GL$8)/$FX9,"#.##%")&amp;")","-"))))))</f>
        <v>; Export ;2,093.4(3.9%)</v>
      </c>
      <c r="GM9" s="36" t="str">
        <f>IF($A9="","",IF(_xll.ciqfunctions.udf.CIQ($A9,"IQ_GEO_SEG_NAME",$U$1,$D$2,"LFR",,,,GM$8)=0,"",IF(GL9="",IF(_xll.ciqfunctions.udf.CIQ($A9,"IQ_GEO_SEG_NAME",$U$1,$D$2,"LFR",,,,GM$8)=0,"",_xll.ciqfunctions.udf.CIQ($A9,"IQ_GEO_SEG_NAME",$U$1,$D$2,"LFR",,,,GM$8)&amp;IF(_xll.ciqfunctions.udf.CIQ($A9,"IQ_GEO_SEG_REV",$U$1,$D$2,"LFR",,$D$3,$G$1,GM$8)=0,""," :"&amp;TEXT(_xll.ciqfunctions.udf.CIQ($A9,"IQ_GEO_SEG_REV",$U$1,$D$2,"LFR",,$D$3,$G$1,GM$8),"#,##.#")&amp;"("&amp;IFERROR(TEXT(_xll.ciqfunctions.udf.CIQ($A9,"IQ_GEO_SEG_REV",$U$1,$D$2,"LFR",,$D$3,$G$1,GM$8)/$FX9,"#.##%")&amp;")","-"))),"; "&amp;IF(_xll.ciqfunctions.udf.CIQ($A9,"IQ_GEO_SEG_NAME",$U$1,$D$2,"LFR",,,,GM$8)=0,"",_xll.ciqfunctions.udf.CIQ($A9,"IQ_GEO_SEG_NAME",$U$1,$D$2,"LFR",,,,GM$8)&amp;IF(_xll.ciqfunctions.udf.CIQ($A9,"IQ_GEO_SEG_REV",$U$1,$D$2,"LFR",,$D$3,$G$1,GM$8)=0,""," ;"&amp;TEXT(_xll.ciqfunctions.udf.CIQ($A9,"IQ_GEO_SEG_REV",$U$1,$D$2,"LFR",,$D$3,$G$1,GM$8),"#,##.#")&amp;"("&amp;IFERROR(TEXT(_xll.ciqfunctions.udf.CIQ($A9,"IQ_GEO_SEG_REV",$U$1,$D$2,"LFR",,$D$3,$G$1,GM$8)/$FX9,"#.##%")&amp;")","-"))))))</f>
        <v/>
      </c>
      <c r="GN9" s="36" t="str">
        <f>IF($A9="","",IF(_xll.ciqfunctions.udf.CIQ($A9,"IQ_GEO_SEG_NAME",$U$1,$D$2,"LFR",,,,GN$8)=0,"",IF(GM9="",IF(_xll.ciqfunctions.udf.CIQ($A9,"IQ_GEO_SEG_NAME",$U$1,$D$2,"LFR",,,,GN$8)=0,"",_xll.ciqfunctions.udf.CIQ($A9,"IQ_GEO_SEG_NAME",$U$1,$D$2,"LFR",,,,GN$8)&amp;IF(_xll.ciqfunctions.udf.CIQ($A9,"IQ_GEO_SEG_REV",$U$1,$D$2,"LFR",,$D$3,$G$1,GN$8)=0,""," :"&amp;TEXT(_xll.ciqfunctions.udf.CIQ($A9,"IQ_GEO_SEG_REV",$U$1,$D$2,"LFR",,$D$3,$G$1,GN$8),"#,##.#")&amp;"("&amp;IFERROR(TEXT(_xll.ciqfunctions.udf.CIQ($A9,"IQ_GEO_SEG_REV",$U$1,$D$2,"LFR",,$D$3,$G$1,GN$8)/$FX9,"#.##%")&amp;")","-"))),"; "&amp;IF(_xll.ciqfunctions.udf.CIQ($A9,"IQ_GEO_SEG_NAME",$U$1,$D$2,"LFR",,,,GN$8)=0,"",_xll.ciqfunctions.udf.CIQ($A9,"IQ_GEO_SEG_NAME",$U$1,$D$2,"LFR",,,,GN$8)&amp;IF(_xll.ciqfunctions.udf.CIQ($A9,"IQ_GEO_SEG_REV",$U$1,$D$2,"LFR",,$D$3,$G$1,GN$8)=0,""," ;"&amp;TEXT(_xll.ciqfunctions.udf.CIQ($A9,"IQ_GEO_SEG_REV",$U$1,$D$2,"LFR",,$D$3,$G$1,GN$8),"#,##.#")&amp;"("&amp;IFERROR(TEXT(_xll.ciqfunctions.udf.CIQ($A9,"IQ_GEO_SEG_REV",$U$1,$D$2,"LFR",,$D$3,$G$1,GN$8)/$FX9,"#.##%")&amp;")","-"))))))</f>
        <v/>
      </c>
      <c r="GO9" s="36" t="str">
        <f>IF($A9="","",IF(_xll.ciqfunctions.udf.CIQ($A9,"IQ_GEO_SEG_NAME",$U$1,$D$2,"LFR",,,,GO$8)=0,"",IF(GN9="",IF(_xll.ciqfunctions.udf.CIQ($A9,"IQ_GEO_SEG_NAME",$U$1,$D$2,"LFR",,,,GO$8)=0,"",_xll.ciqfunctions.udf.CIQ($A9,"IQ_GEO_SEG_NAME",$U$1,$D$2,"LFR",,,,GO$8)&amp;IF(_xll.ciqfunctions.udf.CIQ($A9,"IQ_GEO_SEG_REV",$U$1,$D$2,"LFR",,$D$3,$G$1,GO$8)=0,""," :"&amp;TEXT(_xll.ciqfunctions.udf.CIQ($A9,"IQ_GEO_SEG_REV",$U$1,$D$2,"LFR",,$D$3,$G$1,GO$8),"#,##.#")&amp;"("&amp;IFERROR(TEXT(_xll.ciqfunctions.udf.CIQ($A9,"IQ_GEO_SEG_REV",$U$1,$D$2,"LFR",,$D$3,$G$1,GO$8)/$FX9,"#.##%")&amp;")","-"))),"; "&amp;IF(_xll.ciqfunctions.udf.CIQ($A9,"IQ_GEO_SEG_NAME",$U$1,$D$2,"LFR",,,,GO$8)=0,"",_xll.ciqfunctions.udf.CIQ($A9,"IQ_GEO_SEG_NAME",$U$1,$D$2,"LFR",,,,GO$8)&amp;IF(_xll.ciqfunctions.udf.CIQ($A9,"IQ_GEO_SEG_REV",$U$1,$D$2,"LFR",,$D$3,$G$1,GO$8)=0,""," ;"&amp;TEXT(_xll.ciqfunctions.udf.CIQ($A9,"IQ_GEO_SEG_REV",$U$1,$D$2,"LFR",,$D$3,$G$1,GO$8),"#,##.#")&amp;"("&amp;IFERROR(TEXT(_xll.ciqfunctions.udf.CIQ($A9,"IQ_GEO_SEG_REV",$U$1,$D$2,"LFR",,$D$3,$G$1,GO$8)/$FX9,"#.##%")&amp;")","-"))))))</f>
        <v/>
      </c>
    </row>
    <row r="10" spans="1:197" ht="38.25" customHeight="1">
      <c r="A10" s="18" t="s">
        <v>190</v>
      </c>
      <c r="B10" s="25" t="s">
        <v>211</v>
      </c>
      <c r="C10" s="26" t="s">
        <v>235</v>
      </c>
      <c r="D10" s="26" t="s">
        <v>212</v>
      </c>
      <c r="E10" s="27">
        <v>15550.26917</v>
      </c>
      <c r="F10" s="27">
        <v>18962.83829</v>
      </c>
      <c r="G10" s="27" t="s">
        <v>189</v>
      </c>
      <c r="H10" s="27">
        <v>28464.935890000001</v>
      </c>
      <c r="I10" s="27">
        <v>4705.99478</v>
      </c>
      <c r="J10" s="27">
        <v>2285.7483499999998</v>
      </c>
      <c r="K10" s="27">
        <v>1921.3485000000001</v>
      </c>
      <c r="L10" s="27">
        <v>1277.47569</v>
      </c>
      <c r="M10" s="27">
        <v>1204.30179</v>
      </c>
      <c r="N10" s="27">
        <v>698.45342000000005</v>
      </c>
      <c r="O10" s="27">
        <v>1146.7023899999999</v>
      </c>
      <c r="P10" s="27">
        <v>8118.10196</v>
      </c>
      <c r="Q10" s="27">
        <v>14151.41777</v>
      </c>
      <c r="R10" s="27">
        <v>4359.55494</v>
      </c>
      <c r="S10" s="27">
        <v>4467.1928200000002</v>
      </c>
      <c r="T10" s="27">
        <v>2047.7058</v>
      </c>
      <c r="U10" s="27">
        <v>1745.9962499999999</v>
      </c>
      <c r="V10" s="28">
        <v>0.23386999999999999</v>
      </c>
      <c r="W10" s="29">
        <v>42460</v>
      </c>
      <c r="X10" s="29">
        <v>42460</v>
      </c>
      <c r="Y10" s="29">
        <v>42460</v>
      </c>
      <c r="Z10" s="29">
        <v>42604</v>
      </c>
      <c r="AA10" s="29">
        <v>42604</v>
      </c>
      <c r="AB10" s="29">
        <v>42604</v>
      </c>
      <c r="AC10" s="27">
        <v>28464.935890000001</v>
      </c>
      <c r="AD10" s="27" t="s">
        <v>189</v>
      </c>
      <c r="AE10" s="27" t="s">
        <v>189</v>
      </c>
      <c r="AF10" s="27" t="s">
        <v>189</v>
      </c>
      <c r="AG10" s="27" t="s">
        <v>189</v>
      </c>
      <c r="AH10" s="27">
        <v>23758.9411</v>
      </c>
      <c r="AI10" s="27" t="s">
        <v>189</v>
      </c>
      <c r="AJ10" s="27" t="s">
        <v>189</v>
      </c>
      <c r="AK10" s="27" t="s">
        <v>189</v>
      </c>
      <c r="AL10" s="27">
        <v>543.66503999999998</v>
      </c>
      <c r="AM10" s="27">
        <v>543.66503999999998</v>
      </c>
      <c r="AN10" s="27">
        <v>26543.587390000001</v>
      </c>
      <c r="AO10" s="27">
        <v>1921.3485000000001</v>
      </c>
      <c r="AP10" s="27">
        <v>-156.36967000000001</v>
      </c>
      <c r="AQ10" s="27">
        <v>0</v>
      </c>
      <c r="AR10" s="27">
        <v>27.530740000000002</v>
      </c>
      <c r="AS10" s="27">
        <v>-39.909469999999999</v>
      </c>
      <c r="AT10" s="28">
        <v>0.37570999999999999</v>
      </c>
      <c r="AU10" s="27">
        <v>-102.77782000000001</v>
      </c>
      <c r="AV10" s="27">
        <v>62.492649999999998</v>
      </c>
      <c r="AW10" s="27">
        <v>1908.9697699999999</v>
      </c>
      <c r="AX10" s="27" t="s">
        <v>189</v>
      </c>
      <c r="AY10" s="30">
        <v>1.9098999999999998E-2</v>
      </c>
      <c r="AZ10" s="27" t="s">
        <v>189</v>
      </c>
      <c r="BA10" s="31">
        <v>8.38612</v>
      </c>
      <c r="BB10" s="30">
        <v>8.0299999999999996E-2</v>
      </c>
      <c r="BC10" s="27">
        <v>2238.1375400000002</v>
      </c>
      <c r="BD10" s="27">
        <v>1446.1685</v>
      </c>
      <c r="BE10" s="27">
        <v>365.48925000000003</v>
      </c>
      <c r="BF10" s="27">
        <v>360.85251</v>
      </c>
      <c r="BG10" s="27">
        <v>527.37836000000004</v>
      </c>
      <c r="BH10" s="30">
        <v>8.8055999999999995E-2</v>
      </c>
      <c r="BI10" s="27">
        <v>4983.0766400000002</v>
      </c>
      <c r="BJ10" s="27" t="s">
        <v>189</v>
      </c>
      <c r="BK10" s="27">
        <v>101.06828</v>
      </c>
      <c r="BL10" s="32">
        <v>-5.6054300000000001</v>
      </c>
      <c r="BM10" s="31" t="s">
        <v>189</v>
      </c>
      <c r="BN10" s="31" t="s">
        <v>189</v>
      </c>
      <c r="BO10" s="27" t="s">
        <v>189</v>
      </c>
      <c r="BP10" s="27" t="s">
        <v>189</v>
      </c>
      <c r="BQ10" s="27" t="s">
        <v>189</v>
      </c>
      <c r="BR10" s="27" t="s">
        <v>189</v>
      </c>
      <c r="BS10" s="27" t="s">
        <v>189</v>
      </c>
      <c r="BT10" s="27">
        <v>2338.2648399999998</v>
      </c>
      <c r="BU10" s="31" t="s">
        <v>189</v>
      </c>
      <c r="BV10" s="33" t="s">
        <v>189</v>
      </c>
      <c r="BW10" s="27">
        <v>1556.7423799999999</v>
      </c>
      <c r="BX10" s="27">
        <v>527.35722999999996</v>
      </c>
      <c r="BY10" s="27">
        <v>5086.0400499999996</v>
      </c>
      <c r="BZ10" s="27">
        <v>9684.2249499999998</v>
      </c>
      <c r="CA10" s="31" t="s">
        <v>189</v>
      </c>
      <c r="CB10" s="27" t="s">
        <v>189</v>
      </c>
      <c r="CC10" s="27">
        <v>112.2037</v>
      </c>
      <c r="CD10" s="27">
        <v>14151.41777</v>
      </c>
      <c r="CE10" s="27" t="s">
        <v>189</v>
      </c>
      <c r="CF10" s="27" t="s">
        <v>189</v>
      </c>
      <c r="CG10" s="27" t="s">
        <v>189</v>
      </c>
      <c r="CH10" s="27" t="s">
        <v>189</v>
      </c>
      <c r="CI10" s="27" t="s">
        <v>189</v>
      </c>
      <c r="CJ10" s="30">
        <v>0.371917</v>
      </c>
      <c r="CK10" s="27" t="s">
        <v>189</v>
      </c>
      <c r="CL10" s="27" t="s">
        <v>189</v>
      </c>
      <c r="CM10" s="27" t="s">
        <v>189</v>
      </c>
      <c r="CN10" s="27" t="s">
        <v>189</v>
      </c>
      <c r="CO10" s="27">
        <v>1277.47569</v>
      </c>
      <c r="CP10" s="27">
        <v>-73.173900000000003</v>
      </c>
      <c r="CQ10" s="28">
        <v>0.83274000000000004</v>
      </c>
      <c r="CR10" s="27">
        <v>1446.2</v>
      </c>
      <c r="CS10" s="34" t="s">
        <v>189</v>
      </c>
      <c r="CT10" s="34">
        <v>0.37540200000000001</v>
      </c>
      <c r="CU10" s="27">
        <v>1924.8958399999999</v>
      </c>
      <c r="CV10" s="27">
        <v>2350.7487299999998</v>
      </c>
      <c r="CW10" s="27">
        <v>539.75210000000004</v>
      </c>
      <c r="CX10" s="34">
        <v>0.32786499999999996</v>
      </c>
      <c r="CY10" s="27">
        <v>28727.61261</v>
      </c>
      <c r="CZ10" s="27" t="s">
        <v>189</v>
      </c>
      <c r="DA10" s="27" t="s">
        <v>189</v>
      </c>
      <c r="DB10" s="27" t="s">
        <v>189</v>
      </c>
      <c r="DC10" s="27" t="s">
        <v>189</v>
      </c>
      <c r="DD10" s="27" t="s">
        <v>189</v>
      </c>
      <c r="DE10" s="27">
        <v>1204.30179</v>
      </c>
      <c r="DF10" s="27">
        <v>19.81784</v>
      </c>
      <c r="DG10" s="27">
        <v>45.182540000000003</v>
      </c>
      <c r="DH10" s="27" t="s">
        <v>189</v>
      </c>
      <c r="DI10" s="27" t="s">
        <v>189</v>
      </c>
      <c r="DJ10" s="27" t="s">
        <v>189</v>
      </c>
      <c r="DK10" s="27" t="s">
        <v>189</v>
      </c>
      <c r="DL10" s="27" t="s">
        <v>189</v>
      </c>
      <c r="DM10" s="27" t="s">
        <v>189</v>
      </c>
      <c r="DN10" s="27" t="s">
        <v>189</v>
      </c>
      <c r="DO10" s="27" t="s">
        <v>189</v>
      </c>
      <c r="DP10" s="27">
        <v>448.24896999999999</v>
      </c>
      <c r="DQ10" s="27">
        <v>365.67334</v>
      </c>
      <c r="DR10" s="27">
        <v>655.35722999999996</v>
      </c>
      <c r="DS10" s="27">
        <v>22.454920000000001</v>
      </c>
      <c r="DT10" s="27">
        <v>1043.48549</v>
      </c>
      <c r="DU10" s="27" t="s">
        <v>189</v>
      </c>
      <c r="DV10" s="27" t="s">
        <v>189</v>
      </c>
      <c r="DW10" s="27" t="s">
        <v>189</v>
      </c>
      <c r="DX10" s="27">
        <v>454.62392</v>
      </c>
      <c r="DY10" s="27">
        <v>454.62392</v>
      </c>
      <c r="DZ10" s="27" t="s">
        <v>189</v>
      </c>
      <c r="EA10" s="27" t="s">
        <v>189</v>
      </c>
      <c r="EB10" s="27">
        <v>12247.423779999999</v>
      </c>
      <c r="EC10" s="27">
        <v>4129.3218200000001</v>
      </c>
      <c r="ED10" s="27">
        <v>293.06225000000001</v>
      </c>
      <c r="EE10" s="27">
        <v>9.2040699999999998</v>
      </c>
      <c r="EF10" s="27">
        <v>117.52396</v>
      </c>
      <c r="EG10" s="27" t="s">
        <v>189</v>
      </c>
      <c r="EH10" s="27">
        <v>630.44889999999998</v>
      </c>
      <c r="EI10" s="27">
        <v>1278.10941</v>
      </c>
      <c r="EJ10" s="27">
        <v>519.07506999999998</v>
      </c>
      <c r="EK10" s="27">
        <v>3929.5436199999999</v>
      </c>
      <c r="EL10" s="27" t="s">
        <v>189</v>
      </c>
      <c r="EM10" s="27">
        <v>109.10298</v>
      </c>
      <c r="EN10" s="27">
        <v>146.71294</v>
      </c>
      <c r="EO10" s="27">
        <v>37.609960000000001</v>
      </c>
      <c r="EP10" s="27">
        <v>30.34327</v>
      </c>
      <c r="EQ10" s="27" t="s">
        <v>189</v>
      </c>
      <c r="ER10" s="27">
        <v>1446.1685</v>
      </c>
      <c r="ES10" s="27">
        <v>4103.1596200000004</v>
      </c>
      <c r="ET10" s="27">
        <v>126.72803</v>
      </c>
      <c r="EU10" s="27">
        <v>8826.7477600000002</v>
      </c>
      <c r="EV10" s="27" t="s">
        <v>189</v>
      </c>
      <c r="EW10" s="27" t="s">
        <v>189</v>
      </c>
      <c r="EX10" s="33" t="s">
        <v>189</v>
      </c>
      <c r="EY10" s="32">
        <v>0.68049999999999999</v>
      </c>
      <c r="EZ10" s="33" t="s">
        <v>189</v>
      </c>
      <c r="FA10" s="27">
        <v>56.377220000000001</v>
      </c>
      <c r="FB10" s="27">
        <v>3304.9536499999999</v>
      </c>
      <c r="FC10" s="27">
        <v>520.00302999999997</v>
      </c>
      <c r="FD10" s="30">
        <v>3.8110999999999999E-2</v>
      </c>
      <c r="FE10" s="27">
        <v>364.39985000000001</v>
      </c>
      <c r="FF10" s="27">
        <v>300.92946999999998</v>
      </c>
      <c r="FG10" s="32">
        <v>-1.77443</v>
      </c>
      <c r="FH10" s="27" t="s">
        <v>189</v>
      </c>
      <c r="FI10" s="27">
        <v>297.61599999999999</v>
      </c>
      <c r="FJ10" s="27">
        <v>1313.4922899999999</v>
      </c>
      <c r="FK10" s="27">
        <v>-981.14071999999999</v>
      </c>
      <c r="FL10" s="27">
        <v>159.99396999999999</v>
      </c>
      <c r="FM10" s="27" t="s">
        <v>189</v>
      </c>
      <c r="FN10" s="27" t="s">
        <v>189</v>
      </c>
      <c r="FO10" s="27" t="s">
        <v>189</v>
      </c>
      <c r="FP10" s="27" t="s">
        <v>189</v>
      </c>
      <c r="FQ10" s="27" t="s">
        <v>189</v>
      </c>
      <c r="FR10" s="27" t="s">
        <v>189</v>
      </c>
      <c r="FS10" s="27" t="s">
        <v>189</v>
      </c>
      <c r="FT10" s="27" t="s">
        <v>189</v>
      </c>
      <c r="FU10" s="27" t="s">
        <v>189</v>
      </c>
      <c r="FV10" s="27">
        <v>365.48925000000003</v>
      </c>
      <c r="FW10" s="27">
        <v>346.24669999999998</v>
      </c>
      <c r="FX10" s="27">
        <v>28464.935890000001</v>
      </c>
      <c r="FY10" s="35" t="s">
        <v>216</v>
      </c>
      <c r="FZ10" s="27" t="s">
        <v>189</v>
      </c>
      <c r="GA10" s="27" t="s">
        <v>189</v>
      </c>
      <c r="GB10" s="27" t="s">
        <v>189</v>
      </c>
      <c r="GC10" s="28">
        <v>0.23386999999999999</v>
      </c>
      <c r="GD10" s="27" t="s">
        <v>189</v>
      </c>
      <c r="GE10" s="30">
        <v>8.8055999999999995E-2</v>
      </c>
      <c r="GF10" s="27" t="s">
        <v>189</v>
      </c>
      <c r="GG10" s="27">
        <v>1013.0292899999999</v>
      </c>
      <c r="GH10" s="27" t="s">
        <v>189</v>
      </c>
      <c r="GI10" s="27" t="s">
        <v>189</v>
      </c>
      <c r="GK10" s="36" t="s">
        <v>213</v>
      </c>
      <c r="GL10" s="36" t="s">
        <v>214</v>
      </c>
      <c r="GM10" s="36" t="s">
        <v>215</v>
      </c>
      <c r="GN10" s="36" t="s">
        <v>215</v>
      </c>
      <c r="GO10" s="36" t="s">
        <v>215</v>
      </c>
    </row>
    <row r="11" spans="1:197" ht="22.5">
      <c r="A11" s="18" t="str">
        <f>_xll.ciqfunctions.udf.CIQ("BSE:530965", "IQ_QUICK_COMP", 3)</f>
        <v>BSE:500104</v>
      </c>
      <c r="B11" s="25" t="s">
        <v>217</v>
      </c>
      <c r="C11" s="26" t="s">
        <v>235</v>
      </c>
      <c r="D11" s="26" t="s">
        <v>212</v>
      </c>
      <c r="E11" s="27">
        <v>8670.7373800000005</v>
      </c>
      <c r="F11" s="27">
        <v>12801.06337</v>
      </c>
      <c r="G11" s="27" t="s">
        <v>189</v>
      </c>
      <c r="H11" s="27">
        <v>28210.22294</v>
      </c>
      <c r="I11" s="27">
        <v>2738.2557900000002</v>
      </c>
      <c r="J11" s="27">
        <v>1719.57302</v>
      </c>
      <c r="K11" s="27">
        <v>1181.1784399999999</v>
      </c>
      <c r="L11" s="27">
        <v>731.33308999999997</v>
      </c>
      <c r="M11" s="27">
        <v>742.58619999999996</v>
      </c>
      <c r="N11" s="27">
        <v>422.38400999999999</v>
      </c>
      <c r="O11" s="27">
        <v>1176.4028800000001</v>
      </c>
      <c r="P11" s="27">
        <v>7790.0084100000004</v>
      </c>
      <c r="Q11" s="27">
        <v>13230.797619999999</v>
      </c>
      <c r="R11" s="27">
        <v>5346.2286700000004</v>
      </c>
      <c r="S11" s="27">
        <v>2620.35311</v>
      </c>
      <c r="T11" s="27">
        <v>1774.7884100000001</v>
      </c>
      <c r="U11" s="27">
        <v>935.97284999999999</v>
      </c>
      <c r="V11" s="28">
        <v>0.17352000000000001</v>
      </c>
      <c r="W11" s="29">
        <v>42460</v>
      </c>
      <c r="X11" s="29">
        <v>42460</v>
      </c>
      <c r="Y11" s="29">
        <v>42460</v>
      </c>
      <c r="Z11" s="29">
        <v>42517</v>
      </c>
      <c r="AA11" s="29">
        <v>42517</v>
      </c>
      <c r="AB11" s="29">
        <v>42517</v>
      </c>
      <c r="AC11" s="27">
        <v>28179.620149999999</v>
      </c>
      <c r="AD11" s="27">
        <v>30.602789999999999</v>
      </c>
      <c r="AE11" s="27" t="s">
        <v>189</v>
      </c>
      <c r="AF11" s="27" t="s">
        <v>189</v>
      </c>
      <c r="AG11" s="27">
        <v>30.602789999999999</v>
      </c>
      <c r="AH11" s="27">
        <v>25471.96715</v>
      </c>
      <c r="AI11" s="27" t="s">
        <v>189</v>
      </c>
      <c r="AJ11" s="27" t="s">
        <v>189</v>
      </c>
      <c r="AK11" s="27" t="s">
        <v>189</v>
      </c>
      <c r="AL11" s="27">
        <v>493.84685999999999</v>
      </c>
      <c r="AM11" s="27">
        <v>487.24707999999998</v>
      </c>
      <c r="AN11" s="27">
        <v>27029.0445</v>
      </c>
      <c r="AO11" s="27">
        <v>1181.1784399999999</v>
      </c>
      <c r="AP11" s="27">
        <v>-191.07507000000001</v>
      </c>
      <c r="AQ11" s="27">
        <v>0</v>
      </c>
      <c r="AR11" s="27">
        <v>-61.231229999999996</v>
      </c>
      <c r="AS11" s="27">
        <v>-104.27009</v>
      </c>
      <c r="AT11" s="28">
        <v>0.11618000000000001</v>
      </c>
      <c r="AU11" s="27">
        <v>-118.19842</v>
      </c>
      <c r="AV11" s="27">
        <v>13.812150000000001</v>
      </c>
      <c r="AW11" s="27">
        <v>1015.6771199999999</v>
      </c>
      <c r="AX11" s="27" t="s">
        <v>189</v>
      </c>
      <c r="AY11" s="30">
        <v>1.7271999999999999E-2</v>
      </c>
      <c r="AZ11" s="27" t="s">
        <v>189</v>
      </c>
      <c r="BA11" s="31">
        <v>7.5258200000000004</v>
      </c>
      <c r="BB11" s="30">
        <v>6.0955000000000002E-2</v>
      </c>
      <c r="BC11" s="27">
        <v>1406.53242</v>
      </c>
      <c r="BD11" s="27">
        <v>1015.88175</v>
      </c>
      <c r="BE11" s="27">
        <v>541.41985</v>
      </c>
      <c r="BF11" s="27">
        <v>536.93550000000005</v>
      </c>
      <c r="BG11" s="27">
        <v>226.15013999999999</v>
      </c>
      <c r="BH11" s="30">
        <v>5.6420999999999999E-2</v>
      </c>
      <c r="BI11" s="27">
        <v>4996.70622</v>
      </c>
      <c r="BJ11" s="27" t="s">
        <v>189</v>
      </c>
      <c r="BK11" s="27">
        <v>194.44738000000001</v>
      </c>
      <c r="BL11" s="32" t="s">
        <v>189</v>
      </c>
      <c r="BM11" s="31" t="s">
        <v>189</v>
      </c>
      <c r="BN11" s="31" t="s">
        <v>189</v>
      </c>
      <c r="BO11" s="27" t="s">
        <v>189</v>
      </c>
      <c r="BP11" s="27">
        <v>3834.35943</v>
      </c>
      <c r="BQ11" s="27" t="s">
        <v>189</v>
      </c>
      <c r="BR11" s="27" t="s">
        <v>189</v>
      </c>
      <c r="BS11" s="27" t="s">
        <v>189</v>
      </c>
      <c r="BT11" s="27">
        <v>2260.86159</v>
      </c>
      <c r="BU11" s="31" t="s">
        <v>189</v>
      </c>
      <c r="BV11" s="33" t="s">
        <v>189</v>
      </c>
      <c r="BW11" s="27">
        <v>1547.38591</v>
      </c>
      <c r="BX11" s="27">
        <v>517.99774000000002</v>
      </c>
      <c r="BY11" s="27">
        <v>5228.9612200000001</v>
      </c>
      <c r="BZ11" s="27">
        <v>10610.444509999999</v>
      </c>
      <c r="CA11" s="31" t="s">
        <v>189</v>
      </c>
      <c r="CB11" s="27" t="s">
        <v>189</v>
      </c>
      <c r="CC11" s="27">
        <v>1477.3610200000001</v>
      </c>
      <c r="CD11" s="27">
        <v>13230.797619999999</v>
      </c>
      <c r="CE11" s="27" t="s">
        <v>189</v>
      </c>
      <c r="CF11" s="27" t="s">
        <v>189</v>
      </c>
      <c r="CG11" s="27" t="s">
        <v>189</v>
      </c>
      <c r="CH11" s="27" t="s">
        <v>189</v>
      </c>
      <c r="CI11" s="27" t="s">
        <v>189</v>
      </c>
      <c r="CJ11" s="30">
        <v>0.232818</v>
      </c>
      <c r="CK11" s="27" t="s">
        <v>189</v>
      </c>
      <c r="CL11" s="27" t="s">
        <v>189</v>
      </c>
      <c r="CM11" s="27" t="s">
        <v>189</v>
      </c>
      <c r="CN11" s="27" t="s">
        <v>189</v>
      </c>
      <c r="CO11" s="27">
        <v>731.33308999999997</v>
      </c>
      <c r="CP11" s="27">
        <v>11.25311</v>
      </c>
      <c r="CQ11" s="28">
        <v>0.73097000000000001</v>
      </c>
      <c r="CR11" s="27">
        <v>1015.89</v>
      </c>
      <c r="CS11" s="34" t="s">
        <v>189</v>
      </c>
      <c r="CT11" s="34">
        <v>0.35758600000000001</v>
      </c>
      <c r="CU11" s="27">
        <v>1182.63751</v>
      </c>
      <c r="CV11" s="27">
        <v>1806.9860699999999</v>
      </c>
      <c r="CW11" s="27">
        <v>783.60015999999996</v>
      </c>
      <c r="CX11" s="34">
        <v>0.30301899999999998</v>
      </c>
      <c r="CY11" s="27">
        <v>28477.765759999998</v>
      </c>
      <c r="CZ11" s="27">
        <v>22.706900000000001</v>
      </c>
      <c r="DA11" s="27" t="s">
        <v>189</v>
      </c>
      <c r="DB11" s="27">
        <v>22.706900000000001</v>
      </c>
      <c r="DC11" s="27" t="s">
        <v>189</v>
      </c>
      <c r="DD11" s="27" t="s">
        <v>189</v>
      </c>
      <c r="DE11" s="27">
        <v>742.58619999999996</v>
      </c>
      <c r="DF11" s="27">
        <v>24.480550000000001</v>
      </c>
      <c r="DG11" s="27">
        <v>62.932499999999997</v>
      </c>
      <c r="DH11" s="27" t="s">
        <v>189</v>
      </c>
      <c r="DI11" s="27" t="s">
        <v>189</v>
      </c>
      <c r="DJ11" s="27" t="s">
        <v>189</v>
      </c>
      <c r="DK11" s="27" t="s">
        <v>189</v>
      </c>
      <c r="DL11" s="27" t="s">
        <v>189</v>
      </c>
      <c r="DM11" s="27" t="s">
        <v>189</v>
      </c>
      <c r="DN11" s="27" t="s">
        <v>189</v>
      </c>
      <c r="DO11" s="27" t="s">
        <v>189</v>
      </c>
      <c r="DP11" s="27">
        <v>754.01886999999999</v>
      </c>
      <c r="DQ11" s="27">
        <v>703.12788999999998</v>
      </c>
      <c r="DR11" s="27">
        <v>607.73293999999999</v>
      </c>
      <c r="DS11" s="27">
        <v>6.3749500000000001</v>
      </c>
      <c r="DT11" s="27">
        <v>1317.23578</v>
      </c>
      <c r="DU11" s="27">
        <v>15.40249</v>
      </c>
      <c r="DV11" s="27" t="s">
        <v>189</v>
      </c>
      <c r="DW11" s="27" t="s">
        <v>189</v>
      </c>
      <c r="DX11" s="27">
        <v>226.80347</v>
      </c>
      <c r="DY11" s="27">
        <v>226.80347</v>
      </c>
      <c r="DZ11" s="27" t="s">
        <v>189</v>
      </c>
      <c r="EA11" s="27" t="s">
        <v>189</v>
      </c>
      <c r="EB11" s="27">
        <v>11576.900949999999</v>
      </c>
      <c r="EC11" s="27">
        <v>3786.89255</v>
      </c>
      <c r="ED11" s="27">
        <v>86.483590000000007</v>
      </c>
      <c r="EE11" s="27">
        <v>18.159189999999999</v>
      </c>
      <c r="EF11" s="27">
        <v>50.377969999999998</v>
      </c>
      <c r="EG11" s="27" t="s">
        <v>189</v>
      </c>
      <c r="EH11" s="27">
        <v>289.06225000000001</v>
      </c>
      <c r="EI11" s="27">
        <v>1599.44778</v>
      </c>
      <c r="EJ11" s="27">
        <v>137.05620999999999</v>
      </c>
      <c r="EK11" s="27">
        <v>3281.2976699999999</v>
      </c>
      <c r="EL11" s="27" t="s">
        <v>189</v>
      </c>
      <c r="EM11" s="27">
        <v>51.094679999999997</v>
      </c>
      <c r="EN11" s="27">
        <v>207.72085999999999</v>
      </c>
      <c r="EO11" s="27">
        <v>156.62618000000001</v>
      </c>
      <c r="EP11" s="27">
        <v>2346.6662000000001</v>
      </c>
      <c r="EQ11" s="27" t="s">
        <v>189</v>
      </c>
      <c r="ER11" s="27">
        <v>1015.88175</v>
      </c>
      <c r="ES11" s="27">
        <v>2545.82123</v>
      </c>
      <c r="ET11" s="27">
        <v>68.53716</v>
      </c>
      <c r="EU11" s="27">
        <v>7966.5817800000004</v>
      </c>
      <c r="EV11" s="27">
        <v>94.54871</v>
      </c>
      <c r="EW11" s="27" t="s">
        <v>189</v>
      </c>
      <c r="EX11" s="33" t="s">
        <v>189</v>
      </c>
      <c r="EY11" s="32">
        <v>1.69747</v>
      </c>
      <c r="EZ11" s="33" t="s">
        <v>189</v>
      </c>
      <c r="FA11" s="27">
        <v>73.966049999999996</v>
      </c>
      <c r="FB11" s="27">
        <v>342.98755999999997</v>
      </c>
      <c r="FC11" s="27">
        <v>699.30442000000005</v>
      </c>
      <c r="FD11" s="30">
        <v>3.5007000000000003E-2</v>
      </c>
      <c r="FE11" s="27">
        <v>538.39458000000002</v>
      </c>
      <c r="FF11" s="27">
        <v>361.92532</v>
      </c>
      <c r="FG11" s="32">
        <v>2.8894799999999998</v>
      </c>
      <c r="FH11" s="27" t="s">
        <v>189</v>
      </c>
      <c r="FI11" s="27">
        <v>348.35458999999997</v>
      </c>
      <c r="FJ11" s="27">
        <v>203.20031</v>
      </c>
      <c r="FK11" s="27">
        <v>-510.49416000000002</v>
      </c>
      <c r="FL11" s="27">
        <v>176.31234000000001</v>
      </c>
      <c r="FM11" s="27" t="s">
        <v>189</v>
      </c>
      <c r="FN11" s="27">
        <v>153.77867000000001</v>
      </c>
      <c r="FO11" s="27" t="s">
        <v>189</v>
      </c>
      <c r="FP11" s="27" t="s">
        <v>189</v>
      </c>
      <c r="FQ11" s="27">
        <v>507.68988999999999</v>
      </c>
      <c r="FR11" s="27">
        <v>193.79129</v>
      </c>
      <c r="FS11" s="27" t="s">
        <v>189</v>
      </c>
      <c r="FT11" s="27" t="s">
        <v>189</v>
      </c>
      <c r="FU11" s="27" t="s">
        <v>189</v>
      </c>
      <c r="FV11" s="27">
        <v>541.41985</v>
      </c>
      <c r="FW11" s="27" t="s">
        <v>189</v>
      </c>
      <c r="FX11" s="27">
        <v>28210.22294</v>
      </c>
      <c r="FY11" s="35" t="s">
        <v>222</v>
      </c>
      <c r="FZ11" s="27" t="s">
        <v>189</v>
      </c>
      <c r="GA11" s="27" t="s">
        <v>189</v>
      </c>
      <c r="GB11" s="27" t="s">
        <v>189</v>
      </c>
      <c r="GC11" s="28">
        <v>0.17352000000000001</v>
      </c>
      <c r="GD11" s="27" t="s">
        <v>189</v>
      </c>
      <c r="GE11" s="30">
        <v>5.6420999999999999E-2</v>
      </c>
      <c r="GF11" s="27" t="s">
        <v>189</v>
      </c>
      <c r="GG11" s="27">
        <v>535.96348</v>
      </c>
      <c r="GH11" s="27" t="s">
        <v>189</v>
      </c>
      <c r="GI11" s="27" t="s">
        <v>189</v>
      </c>
      <c r="GK11" s="36" t="s">
        <v>222</v>
      </c>
      <c r="GL11" s="36" t="s">
        <v>215</v>
      </c>
      <c r="GM11" s="36" t="s">
        <v>215</v>
      </c>
      <c r="GN11" s="36" t="s">
        <v>215</v>
      </c>
      <c r="GO11" s="36" t="s">
        <v>215</v>
      </c>
    </row>
    <row r="12" spans="1:197" ht="22.5">
      <c r="A12" s="18" t="str">
        <f>_xll.ciqfunctions.udf.CIQ("BSE:530965", "IQ_QUICK_COMP", 4)</f>
        <v>KOSE:A096770</v>
      </c>
      <c r="B12" s="25" t="s">
        <v>218</v>
      </c>
      <c r="C12" s="26" t="s">
        <v>236</v>
      </c>
      <c r="D12" s="26" t="s">
        <v>219</v>
      </c>
      <c r="E12" s="27">
        <v>12379.836869999999</v>
      </c>
      <c r="F12" s="27">
        <v>14380.85932</v>
      </c>
      <c r="G12" s="27" t="s">
        <v>189</v>
      </c>
      <c r="H12" s="27">
        <v>36652.176930000001</v>
      </c>
      <c r="I12" s="27">
        <v>4181.2336100000002</v>
      </c>
      <c r="J12" s="27">
        <v>3256.0134699999999</v>
      </c>
      <c r="K12" s="27">
        <v>2414.0957800000001</v>
      </c>
      <c r="L12" s="27">
        <v>1346.6050399999999</v>
      </c>
      <c r="M12" s="27">
        <v>1205.33662</v>
      </c>
      <c r="N12" s="27">
        <v>2566.1102700000001</v>
      </c>
      <c r="O12" s="27">
        <v>3959.7426500000001</v>
      </c>
      <c r="P12" s="27">
        <v>11824.222110000001</v>
      </c>
      <c r="Q12" s="27">
        <v>26649.525689999999</v>
      </c>
      <c r="R12" s="27">
        <v>6946.95118</v>
      </c>
      <c r="S12" s="27">
        <v>14485.942429999999</v>
      </c>
      <c r="T12" s="27">
        <v>3685.5849400000002</v>
      </c>
      <c r="U12" s="27">
        <v>359.66388000000001</v>
      </c>
      <c r="V12" s="28">
        <v>4.3645100000000001</v>
      </c>
      <c r="W12" s="29">
        <v>42643</v>
      </c>
      <c r="X12" s="29">
        <v>42643</v>
      </c>
      <c r="Y12" s="29">
        <v>42643</v>
      </c>
      <c r="Z12" s="29">
        <v>42688</v>
      </c>
      <c r="AA12" s="29">
        <v>42688</v>
      </c>
      <c r="AB12" s="29">
        <v>42688</v>
      </c>
      <c r="AC12" s="27">
        <v>36652.176930000001</v>
      </c>
      <c r="AD12" s="27" t="s">
        <v>189</v>
      </c>
      <c r="AE12" s="27" t="s">
        <v>189</v>
      </c>
      <c r="AF12" s="27" t="s">
        <v>189</v>
      </c>
      <c r="AG12" s="27" t="s">
        <v>189</v>
      </c>
      <c r="AH12" s="27">
        <v>32470.943329999998</v>
      </c>
      <c r="AI12" s="27" t="s">
        <v>189</v>
      </c>
      <c r="AJ12" s="27" t="s">
        <v>189</v>
      </c>
      <c r="AK12" s="27" t="s">
        <v>189</v>
      </c>
      <c r="AL12" s="27">
        <v>1573.77547</v>
      </c>
      <c r="AM12" s="27">
        <v>1378.4281699999999</v>
      </c>
      <c r="AN12" s="27">
        <v>34238.081149999998</v>
      </c>
      <c r="AO12" s="27">
        <v>2414.0957800000001</v>
      </c>
      <c r="AP12" s="27">
        <v>-239.10891000000001</v>
      </c>
      <c r="AQ12" s="27">
        <v>0</v>
      </c>
      <c r="AR12" s="27">
        <v>-155.61856</v>
      </c>
      <c r="AS12" s="27">
        <v>51.669980000000002</v>
      </c>
      <c r="AT12" s="28">
        <v>40.955770000000001</v>
      </c>
      <c r="AU12" s="27">
        <v>32.187190000000001</v>
      </c>
      <c r="AV12" s="27">
        <v>-21.47298</v>
      </c>
      <c r="AW12" s="27">
        <v>2310.1471999999999</v>
      </c>
      <c r="AX12" s="27" t="s">
        <v>189</v>
      </c>
      <c r="AY12" s="30">
        <v>3.7608000000000003E-2</v>
      </c>
      <c r="AZ12" s="27" t="s">
        <v>189</v>
      </c>
      <c r="BA12" s="31">
        <v>4.5362299999999998</v>
      </c>
      <c r="BB12" s="30">
        <v>8.8834999999999997E-2</v>
      </c>
      <c r="BC12" s="27">
        <v>3447.3435300000001</v>
      </c>
      <c r="BD12" s="27">
        <v>91.944400000000002</v>
      </c>
      <c r="BE12" s="27">
        <v>40.266249999999999</v>
      </c>
      <c r="BF12" s="27">
        <v>734.45254</v>
      </c>
      <c r="BG12" s="27" t="s">
        <v>189</v>
      </c>
      <c r="BH12" s="30">
        <v>5.1577000000000005E-2</v>
      </c>
      <c r="BI12" s="27">
        <v>10891.644039999999</v>
      </c>
      <c r="BJ12" s="27" t="s">
        <v>189</v>
      </c>
      <c r="BK12" s="27" t="s">
        <v>189</v>
      </c>
      <c r="BL12" s="32">
        <v>-318.69889000000001</v>
      </c>
      <c r="BM12" s="31">
        <v>2.85154</v>
      </c>
      <c r="BN12" s="31">
        <v>1.20597</v>
      </c>
      <c r="BO12" s="27" t="s">
        <v>189</v>
      </c>
      <c r="BP12" s="27">
        <v>28896.369790000001</v>
      </c>
      <c r="BQ12" s="27" t="s">
        <v>189</v>
      </c>
      <c r="BR12" s="27" t="s">
        <v>189</v>
      </c>
      <c r="BS12" s="27" t="s">
        <v>189</v>
      </c>
      <c r="BT12" s="27">
        <v>3025.1106399999999</v>
      </c>
      <c r="BU12" s="31">
        <v>8.9953199999999995</v>
      </c>
      <c r="BV12" s="33">
        <v>40.9101</v>
      </c>
      <c r="BW12" s="27">
        <v>1915.0062</v>
      </c>
      <c r="BX12" s="27">
        <v>784.19784000000004</v>
      </c>
      <c r="BY12" s="27">
        <v>6368.3978900000002</v>
      </c>
      <c r="BZ12" s="27">
        <v>12163.583259999999</v>
      </c>
      <c r="CA12" s="31">
        <v>0.27050000000000002</v>
      </c>
      <c r="CB12" s="27" t="s">
        <v>189</v>
      </c>
      <c r="CC12" s="27">
        <v>57.745159999999998</v>
      </c>
      <c r="CD12" s="27">
        <v>26649.525689999999</v>
      </c>
      <c r="CE12" s="27" t="s">
        <v>189</v>
      </c>
      <c r="CF12" s="27" t="s">
        <v>189</v>
      </c>
      <c r="CG12" s="27" t="s">
        <v>189</v>
      </c>
      <c r="CH12" s="27" t="s">
        <v>189</v>
      </c>
      <c r="CI12" s="27" t="s">
        <v>189</v>
      </c>
      <c r="CJ12" s="30">
        <v>-0.14322499999999999</v>
      </c>
      <c r="CK12" s="27" t="s">
        <v>189</v>
      </c>
      <c r="CL12" s="27" t="s">
        <v>189</v>
      </c>
      <c r="CM12" s="27" t="s">
        <v>189</v>
      </c>
      <c r="CN12" s="27">
        <v>-96.81</v>
      </c>
      <c r="CO12" s="27">
        <v>1249.7950499999999</v>
      </c>
      <c r="CP12" s="27">
        <v>-44.458419999999997</v>
      </c>
      <c r="CQ12" s="28">
        <v>13.00118</v>
      </c>
      <c r="CR12" s="27">
        <v>91.942170000000004</v>
      </c>
      <c r="CS12" s="34" t="s">
        <v>189</v>
      </c>
      <c r="CT12" s="34">
        <v>0.340476</v>
      </c>
      <c r="CU12" s="27">
        <v>2521.5609399999998</v>
      </c>
      <c r="CV12" s="27" t="s">
        <v>189</v>
      </c>
      <c r="CW12" s="27">
        <v>2896.3496</v>
      </c>
      <c r="CX12" s="34">
        <v>0.28398200000000001</v>
      </c>
      <c r="CY12" s="27" t="s">
        <v>189</v>
      </c>
      <c r="CZ12" s="27" t="s">
        <v>189</v>
      </c>
      <c r="DA12" s="27" t="s">
        <v>189</v>
      </c>
      <c r="DB12" s="27">
        <v>673.42577000000006</v>
      </c>
      <c r="DC12" s="27">
        <v>246.63030000000001</v>
      </c>
      <c r="DD12" s="27">
        <v>132.15737999999999</v>
      </c>
      <c r="DE12" s="27">
        <v>1292.16644</v>
      </c>
      <c r="DF12" s="27" t="s">
        <v>189</v>
      </c>
      <c r="DG12" s="27" t="s">
        <v>189</v>
      </c>
      <c r="DH12" s="27" t="s">
        <v>189</v>
      </c>
      <c r="DI12" s="27" t="s">
        <v>189</v>
      </c>
      <c r="DJ12" s="27" t="s">
        <v>189</v>
      </c>
      <c r="DK12" s="27" t="s">
        <v>189</v>
      </c>
      <c r="DL12" s="27" t="s">
        <v>189</v>
      </c>
      <c r="DM12" s="27" t="s">
        <v>189</v>
      </c>
      <c r="DN12" s="27" t="s">
        <v>189</v>
      </c>
      <c r="DO12" s="27" t="s">
        <v>189</v>
      </c>
      <c r="DP12" s="27">
        <v>1393.63238</v>
      </c>
      <c r="DQ12" s="27">
        <v>2954.93813</v>
      </c>
      <c r="DR12" s="27">
        <v>360.60162000000003</v>
      </c>
      <c r="DS12" s="27">
        <v>33.427619999999997</v>
      </c>
      <c r="DT12" s="27">
        <v>3348.9673699999998</v>
      </c>
      <c r="DU12" s="27">
        <v>44.06662</v>
      </c>
      <c r="DV12" s="27" t="s">
        <v>189</v>
      </c>
      <c r="DW12" s="27" t="s">
        <v>189</v>
      </c>
      <c r="DX12" s="27">
        <v>513.75675999999999</v>
      </c>
      <c r="DY12" s="27">
        <v>513.75675999999999</v>
      </c>
      <c r="DZ12" s="27" t="s">
        <v>189</v>
      </c>
      <c r="EA12" s="27" t="s">
        <v>189</v>
      </c>
      <c r="EB12" s="27">
        <v>15612.28847</v>
      </c>
      <c r="EC12" s="27">
        <v>3788.0663599999998</v>
      </c>
      <c r="ED12" s="27">
        <v>2183.9220300000002</v>
      </c>
      <c r="EE12" s="27">
        <v>0.8498</v>
      </c>
      <c r="EF12" s="27">
        <v>1412.42507</v>
      </c>
      <c r="EG12" s="27" t="s">
        <v>189</v>
      </c>
      <c r="EH12" s="27">
        <v>336.46264000000002</v>
      </c>
      <c r="EI12" s="27">
        <v>2340.6254600000002</v>
      </c>
      <c r="EJ12" s="27">
        <v>1129.7834399999999</v>
      </c>
      <c r="EK12" s="27">
        <v>5209.3417200000004</v>
      </c>
      <c r="EL12" s="27" t="s">
        <v>189</v>
      </c>
      <c r="EM12" s="27">
        <v>392.88526000000002</v>
      </c>
      <c r="EN12" s="27">
        <v>5393.26973</v>
      </c>
      <c r="EO12" s="27">
        <v>5000.3844799999997</v>
      </c>
      <c r="EP12" s="27">
        <v>8030.2765099999997</v>
      </c>
      <c r="EQ12" s="27">
        <v>-115.65496</v>
      </c>
      <c r="ER12" s="27">
        <v>91.944400000000002</v>
      </c>
      <c r="ES12" s="27">
        <v>12084.491309999999</v>
      </c>
      <c r="ET12" s="27">
        <v>1413.27487</v>
      </c>
      <c r="EU12" s="27">
        <v>21432.893599999999</v>
      </c>
      <c r="EV12" s="27">
        <v>5721.4069300000001</v>
      </c>
      <c r="EW12" s="27" t="s">
        <v>189</v>
      </c>
      <c r="EX12" s="33" t="s">
        <v>189</v>
      </c>
      <c r="EY12" s="32">
        <v>1987.50299</v>
      </c>
      <c r="EZ12" s="33" t="s">
        <v>189</v>
      </c>
      <c r="FA12" s="27">
        <v>352.91005999999999</v>
      </c>
      <c r="FB12" s="27">
        <v>265.76922999999999</v>
      </c>
      <c r="FC12" s="27">
        <v>287.62603000000001</v>
      </c>
      <c r="FD12" s="30">
        <v>2.7945999999999999E-2</v>
      </c>
      <c r="FE12" s="27">
        <v>841.91768999999999</v>
      </c>
      <c r="FF12" s="27">
        <v>750.51331000000005</v>
      </c>
      <c r="FG12" s="32">
        <v>1.8394600000000001</v>
      </c>
      <c r="FH12" s="27" t="s">
        <v>189</v>
      </c>
      <c r="FI12" s="27">
        <v>59.556759999999997</v>
      </c>
      <c r="FJ12" s="27">
        <v>793.72814000000005</v>
      </c>
      <c r="FK12" s="27">
        <v>-1276.16662</v>
      </c>
      <c r="FL12" s="27">
        <v>-11.36445</v>
      </c>
      <c r="FM12" s="27" t="s">
        <v>189</v>
      </c>
      <c r="FN12" s="27">
        <v>153.23978</v>
      </c>
      <c r="FO12" s="27" t="s">
        <v>189</v>
      </c>
      <c r="FP12" s="27" t="s">
        <v>189</v>
      </c>
      <c r="FQ12" s="27">
        <v>6592.5656799999997</v>
      </c>
      <c r="FR12" s="27">
        <v>579.57515999999998</v>
      </c>
      <c r="FS12" s="27" t="s">
        <v>189</v>
      </c>
      <c r="FT12" s="27" t="s">
        <v>189</v>
      </c>
      <c r="FU12" s="27" t="s">
        <v>189</v>
      </c>
      <c r="FV12" s="27">
        <v>35.452550000000002</v>
      </c>
      <c r="FW12" s="27" t="s">
        <v>189</v>
      </c>
      <c r="FX12" s="27">
        <v>36652.176930000001</v>
      </c>
      <c r="FY12" s="35" t="s">
        <v>234</v>
      </c>
      <c r="FZ12" s="27" t="s">
        <v>189</v>
      </c>
      <c r="GA12" s="27" t="s">
        <v>189</v>
      </c>
      <c r="GB12" s="27" t="s">
        <v>189</v>
      </c>
      <c r="GC12" s="28">
        <v>4.0790300000000004</v>
      </c>
      <c r="GD12" s="27" t="s">
        <v>189</v>
      </c>
      <c r="GE12" s="30">
        <v>3.7231E-2</v>
      </c>
      <c r="GF12" s="27" t="s">
        <v>189</v>
      </c>
      <c r="GG12" s="27">
        <v>1639.1678400000001</v>
      </c>
      <c r="GH12" s="27" t="s">
        <v>189</v>
      </c>
      <c r="GI12" s="27" t="s">
        <v>189</v>
      </c>
      <c r="GK12" s="36" t="s">
        <v>219</v>
      </c>
      <c r="GL12" s="36" t="s">
        <v>233</v>
      </c>
      <c r="GM12" s="36" t="s">
        <v>223</v>
      </c>
      <c r="GN12" s="36" t="s">
        <v>224</v>
      </c>
      <c r="GO12" s="36" t="s">
        <v>225</v>
      </c>
    </row>
    <row r="13" spans="1:197" ht="33.75">
      <c r="A13" s="18" t="str">
        <f>_xll.ciqfunctions.udf.CIQ("BSE:530965", "IQ_QUICK_COMP", 5)</f>
        <v>IQ882940</v>
      </c>
      <c r="B13" s="25" t="s">
        <v>220</v>
      </c>
      <c r="C13" s="26" t="s">
        <v>237</v>
      </c>
      <c r="D13" s="26" t="s">
        <v>212</v>
      </c>
      <c r="E13" s="27">
        <v>37232.756580000001</v>
      </c>
      <c r="F13" s="27">
        <v>41662.434549999998</v>
      </c>
      <c r="G13" s="27" t="s">
        <v>189</v>
      </c>
      <c r="H13" s="27">
        <v>19841.247950000001</v>
      </c>
      <c r="I13" s="27">
        <v>8881.8892199999991</v>
      </c>
      <c r="J13" s="27">
        <v>6937.2921399999996</v>
      </c>
      <c r="K13" s="27">
        <v>3565.5909999999999</v>
      </c>
      <c r="L13" s="27">
        <v>2159.7171199999998</v>
      </c>
      <c r="M13" s="27">
        <v>2131.0915399999999</v>
      </c>
      <c r="N13" s="27">
        <v>3890.4444100000001</v>
      </c>
      <c r="O13" s="27">
        <v>4356.3988499999996</v>
      </c>
      <c r="P13" s="27">
        <v>33353.062239999999</v>
      </c>
      <c r="Q13" s="27">
        <v>53747.45407</v>
      </c>
      <c r="R13" s="27">
        <v>8456.6397199999992</v>
      </c>
      <c r="S13" s="27">
        <v>28253.646410000001</v>
      </c>
      <c r="T13" s="27">
        <v>7963.1518299999998</v>
      </c>
      <c r="U13" s="27">
        <v>5083.8585400000002</v>
      </c>
      <c r="V13" s="28">
        <v>8.5500000000000007E-2</v>
      </c>
      <c r="W13" s="29">
        <v>42460</v>
      </c>
      <c r="X13" s="29">
        <v>42460</v>
      </c>
      <c r="Y13" s="29">
        <v>42460</v>
      </c>
      <c r="Z13" s="29">
        <v>42594</v>
      </c>
      <c r="AA13" s="29">
        <v>42594</v>
      </c>
      <c r="AB13" s="29">
        <v>42594</v>
      </c>
      <c r="AC13" s="27">
        <v>19841.247950000001</v>
      </c>
      <c r="AD13" s="27" t="s">
        <v>189</v>
      </c>
      <c r="AE13" s="27" t="s">
        <v>189</v>
      </c>
      <c r="AF13" s="27" t="s">
        <v>189</v>
      </c>
      <c r="AG13" s="27" t="s">
        <v>189</v>
      </c>
      <c r="AH13" s="27">
        <v>10959.35873</v>
      </c>
      <c r="AI13" s="27" t="s">
        <v>189</v>
      </c>
      <c r="AJ13" s="27" t="s">
        <v>189</v>
      </c>
      <c r="AK13" s="27" t="s">
        <v>189</v>
      </c>
      <c r="AL13" s="27">
        <v>315.20951000000002</v>
      </c>
      <c r="AM13" s="27" t="s">
        <v>189</v>
      </c>
      <c r="AN13" s="27">
        <v>16275.65696</v>
      </c>
      <c r="AO13" s="27">
        <v>3565.5909999999999</v>
      </c>
      <c r="AP13" s="27">
        <v>-196.74795</v>
      </c>
      <c r="AQ13" s="27">
        <v>0</v>
      </c>
      <c r="AR13" s="27">
        <v>392.36937999999998</v>
      </c>
      <c r="AS13" s="27">
        <v>265.48820000000001</v>
      </c>
      <c r="AT13" s="28">
        <v>37.227159999999998</v>
      </c>
      <c r="AU13" s="27">
        <v>-95.651600000000002</v>
      </c>
      <c r="AV13" s="27">
        <v>323.91264000000001</v>
      </c>
      <c r="AW13" s="27">
        <v>4223.4485699999996</v>
      </c>
      <c r="AX13" s="27" t="s">
        <v>189</v>
      </c>
      <c r="AY13" s="30" t="s">
        <v>189</v>
      </c>
      <c r="AZ13" s="27" t="s">
        <v>189</v>
      </c>
      <c r="BA13" s="31">
        <v>6.03932</v>
      </c>
      <c r="BB13" s="30">
        <v>0.34963900000000003</v>
      </c>
      <c r="BC13" s="27">
        <v>8767.8184500000007</v>
      </c>
      <c r="BD13" s="27">
        <v>12833.23518</v>
      </c>
      <c r="BE13" s="27">
        <v>3371.7011400000001</v>
      </c>
      <c r="BF13" s="27">
        <v>2687.3862300000001</v>
      </c>
      <c r="BG13" s="27">
        <v>1056.0333599999999</v>
      </c>
      <c r="BH13" s="30">
        <v>4.2531999999999993E-2</v>
      </c>
      <c r="BI13" s="27">
        <v>8867.1874499999994</v>
      </c>
      <c r="BJ13" s="27" t="s">
        <v>189</v>
      </c>
      <c r="BK13" s="27">
        <v>606.53641000000005</v>
      </c>
      <c r="BL13" s="32">
        <v>-934.25334999999995</v>
      </c>
      <c r="BM13" s="31" t="s">
        <v>189</v>
      </c>
      <c r="BN13" s="31" t="s">
        <v>189</v>
      </c>
      <c r="BO13" s="27" t="s">
        <v>189</v>
      </c>
      <c r="BP13" s="27">
        <v>46766.181709999997</v>
      </c>
      <c r="BQ13" s="27" t="s">
        <v>189</v>
      </c>
      <c r="BR13" s="27" t="s">
        <v>189</v>
      </c>
      <c r="BS13" s="27" t="s">
        <v>189</v>
      </c>
      <c r="BT13" s="27">
        <v>1523.93695</v>
      </c>
      <c r="BU13" s="31" t="s">
        <v>189</v>
      </c>
      <c r="BV13" s="33" t="s">
        <v>189</v>
      </c>
      <c r="BW13" s="27">
        <v>318.84210000000002</v>
      </c>
      <c r="BX13" s="27">
        <v>224.59087</v>
      </c>
      <c r="BY13" s="27">
        <v>9637.0601100000003</v>
      </c>
      <c r="BZ13" s="27">
        <v>25493.807669999998</v>
      </c>
      <c r="CA13" s="31">
        <v>1.32494</v>
      </c>
      <c r="CB13" s="27" t="s">
        <v>189</v>
      </c>
      <c r="CC13" s="27">
        <v>5176.6606499999998</v>
      </c>
      <c r="CD13" s="27">
        <v>53747.45407</v>
      </c>
      <c r="CE13" s="27" t="s">
        <v>189</v>
      </c>
      <c r="CF13" s="27" t="s">
        <v>189</v>
      </c>
      <c r="CG13" s="27" t="s">
        <v>189</v>
      </c>
      <c r="CH13" s="27" t="s">
        <v>189</v>
      </c>
      <c r="CI13" s="27" t="s">
        <v>189</v>
      </c>
      <c r="CJ13" s="30">
        <v>-8.9131000000000002E-2</v>
      </c>
      <c r="CK13" s="27" t="s">
        <v>189</v>
      </c>
      <c r="CL13" s="27" t="s">
        <v>189</v>
      </c>
      <c r="CM13" s="27" t="s">
        <v>189</v>
      </c>
      <c r="CN13" s="27" t="s">
        <v>189</v>
      </c>
      <c r="CO13" s="27">
        <v>2159.7171199999998</v>
      </c>
      <c r="CP13" s="27">
        <v>-28.625579999999999</v>
      </c>
      <c r="CQ13" s="28">
        <v>0.16606000000000001</v>
      </c>
      <c r="CR13" s="27">
        <v>12833.235000000001</v>
      </c>
      <c r="CS13" s="34" t="s">
        <v>189</v>
      </c>
      <c r="CT13" s="34">
        <v>0.34828100000000001</v>
      </c>
      <c r="CU13" s="27">
        <v>3637.9614200000001</v>
      </c>
      <c r="CV13" s="27">
        <v>6951.7259299999996</v>
      </c>
      <c r="CW13" s="27">
        <v>1853.4336000000001</v>
      </c>
      <c r="CX13" s="34">
        <v>0.37029400000000001</v>
      </c>
      <c r="CY13" s="27">
        <v>20900.887500000001</v>
      </c>
      <c r="CZ13" s="27" t="s">
        <v>189</v>
      </c>
      <c r="DA13" s="27" t="s">
        <v>189</v>
      </c>
      <c r="DB13" s="27" t="s">
        <v>189</v>
      </c>
      <c r="DC13" s="27" t="s">
        <v>189</v>
      </c>
      <c r="DD13" s="27" t="s">
        <v>189</v>
      </c>
      <c r="DE13" s="27">
        <v>2131.0915399999999</v>
      </c>
      <c r="DF13" s="27">
        <v>2.7378</v>
      </c>
      <c r="DG13" s="27">
        <v>11.696</v>
      </c>
      <c r="DH13" s="27" t="s">
        <v>189</v>
      </c>
      <c r="DI13" s="27" t="s">
        <v>189</v>
      </c>
      <c r="DJ13" s="27" t="s">
        <v>189</v>
      </c>
      <c r="DK13" s="27" t="s">
        <v>189</v>
      </c>
      <c r="DL13" s="27" t="s">
        <v>189</v>
      </c>
      <c r="DM13" s="27" t="s">
        <v>189</v>
      </c>
      <c r="DN13" s="27" t="s">
        <v>189</v>
      </c>
      <c r="DO13" s="27" t="s">
        <v>189</v>
      </c>
      <c r="DP13" s="27">
        <v>465.95443999999998</v>
      </c>
      <c r="DQ13" s="27">
        <v>1461.5543</v>
      </c>
      <c r="DR13" s="27">
        <v>140.77662000000001</v>
      </c>
      <c r="DS13" s="27">
        <v>37.383479999999999</v>
      </c>
      <c r="DT13" s="27">
        <v>1639.7143900000001</v>
      </c>
      <c r="DU13" s="27" t="s">
        <v>189</v>
      </c>
      <c r="DV13" s="27" t="s">
        <v>189</v>
      </c>
      <c r="DW13" s="27" t="s">
        <v>189</v>
      </c>
      <c r="DX13" s="27">
        <v>1347.13725</v>
      </c>
      <c r="DY13" s="27">
        <v>1347.13725</v>
      </c>
      <c r="DZ13" s="27" t="s">
        <v>189</v>
      </c>
      <c r="EA13" s="27" t="s">
        <v>189</v>
      </c>
      <c r="EB13" s="27">
        <v>57204.554380000001</v>
      </c>
      <c r="EC13" s="27">
        <v>23851.492139999998</v>
      </c>
      <c r="ED13" s="27">
        <v>859.16651999999999</v>
      </c>
      <c r="EE13" s="27">
        <v>2662.1563599999999</v>
      </c>
      <c r="EF13" s="27">
        <v>2335.94632</v>
      </c>
      <c r="EG13" s="27" t="s">
        <v>189</v>
      </c>
      <c r="EH13" s="27">
        <v>5669.9351999999999</v>
      </c>
      <c r="EI13" s="27">
        <v>5111.9253799999997</v>
      </c>
      <c r="EJ13" s="27">
        <v>553.96757000000002</v>
      </c>
      <c r="EK13" s="27">
        <v>6927.6690500000004</v>
      </c>
      <c r="EL13" s="27">
        <v>54.13897</v>
      </c>
      <c r="EM13" s="27">
        <v>645.4538</v>
      </c>
      <c r="EN13" s="27">
        <v>647.38786000000005</v>
      </c>
      <c r="EO13" s="27">
        <v>1.9340599999999999</v>
      </c>
      <c r="EP13" s="27">
        <v>25499.42441</v>
      </c>
      <c r="EQ13" s="27" t="s">
        <v>189</v>
      </c>
      <c r="ER13" s="27">
        <v>12833.23518</v>
      </c>
      <c r="ES13" s="27">
        <v>22877.314839999999</v>
      </c>
      <c r="ET13" s="27">
        <v>4998.1026700000002</v>
      </c>
      <c r="EU13" s="27">
        <v>36710.28613</v>
      </c>
      <c r="EV13" s="27">
        <v>3901.3013999999998</v>
      </c>
      <c r="EW13" s="27" t="s">
        <v>189</v>
      </c>
      <c r="EX13" s="33" t="s">
        <v>189</v>
      </c>
      <c r="EY13" s="32">
        <v>38.363939999999999</v>
      </c>
      <c r="EZ13" s="33" t="s">
        <v>189</v>
      </c>
      <c r="FA13" s="27">
        <v>55.838099999999997</v>
      </c>
      <c r="FB13" s="27">
        <v>4199.4529400000001</v>
      </c>
      <c r="FC13" s="27">
        <v>115.47038999999999</v>
      </c>
      <c r="FD13" s="30">
        <v>2.3709999999999998E-2</v>
      </c>
      <c r="FE13" s="27">
        <v>3371.7011400000001</v>
      </c>
      <c r="FF13" s="27">
        <v>525.33762000000002</v>
      </c>
      <c r="FG13" s="32">
        <v>-19.82648</v>
      </c>
      <c r="FH13" s="27" t="s">
        <v>189</v>
      </c>
      <c r="FI13" s="27">
        <v>502.30781999999999</v>
      </c>
      <c r="FJ13" s="27">
        <v>833.14192000000003</v>
      </c>
      <c r="FK13" s="27">
        <v>-578.07137999999998</v>
      </c>
      <c r="FL13" s="27">
        <v>1294.4526800000001</v>
      </c>
      <c r="FM13" s="27" t="s">
        <v>189</v>
      </c>
      <c r="FN13" s="27">
        <v>865.00247000000002</v>
      </c>
      <c r="FO13" s="27">
        <v>86.711410000000001</v>
      </c>
      <c r="FP13" s="27" t="s">
        <v>189</v>
      </c>
      <c r="FQ13" s="27">
        <v>1568.4868300000001</v>
      </c>
      <c r="FR13" s="27">
        <v>879.53782000000001</v>
      </c>
      <c r="FS13" s="27" t="s">
        <v>189</v>
      </c>
      <c r="FT13" s="27" t="s">
        <v>189</v>
      </c>
      <c r="FU13" s="27" t="s">
        <v>189</v>
      </c>
      <c r="FV13" s="27">
        <v>2759.75666</v>
      </c>
      <c r="FW13" s="27">
        <v>2879.2932900000001</v>
      </c>
      <c r="FX13" s="27">
        <v>19844.184809999999</v>
      </c>
      <c r="FY13" s="35" t="s">
        <v>231</v>
      </c>
      <c r="FZ13" s="27" t="s">
        <v>189</v>
      </c>
      <c r="GA13" s="27" t="s">
        <v>189</v>
      </c>
      <c r="GB13" s="27" t="s">
        <v>189</v>
      </c>
      <c r="GC13" s="28">
        <v>8.5500000000000007E-2</v>
      </c>
      <c r="GD13" s="27" t="s">
        <v>189</v>
      </c>
      <c r="GE13" s="30">
        <v>4.2531999999999993E-2</v>
      </c>
      <c r="GF13" s="27" t="s">
        <v>189</v>
      </c>
      <c r="GG13" s="27">
        <v>2869.9701300000002</v>
      </c>
      <c r="GH13" s="27" t="s">
        <v>189</v>
      </c>
      <c r="GI13" s="27" t="s">
        <v>189</v>
      </c>
      <c r="GK13" s="36" t="s">
        <v>226</v>
      </c>
      <c r="GL13" s="36" t="s">
        <v>227</v>
      </c>
      <c r="GM13" s="36" t="s">
        <v>228</v>
      </c>
      <c r="GN13" s="36" t="s">
        <v>215</v>
      </c>
      <c r="GO13" s="36" t="s">
        <v>215</v>
      </c>
    </row>
    <row r="14" spans="1:197" ht="22.5">
      <c r="A14" s="18" t="str">
        <f>_xll.ciqfunctions.udf.CIQ("BSE:530965", "IQ_QUICK_COMP", 1)</f>
        <v>NSEI:RELIANCE</v>
      </c>
      <c r="B14" s="25" t="s">
        <v>221</v>
      </c>
      <c r="C14" s="26" t="s">
        <v>235</v>
      </c>
      <c r="D14" s="26" t="s">
        <v>212</v>
      </c>
      <c r="E14" s="27">
        <v>49629.789770000003</v>
      </c>
      <c r="F14" s="27">
        <v>68767.316330000001</v>
      </c>
      <c r="G14" s="27" t="s">
        <v>189</v>
      </c>
      <c r="H14" s="27">
        <v>41864.537369999998</v>
      </c>
      <c r="I14" s="27">
        <v>13345.06394</v>
      </c>
      <c r="J14" s="27">
        <v>7132.4083000000001</v>
      </c>
      <c r="K14" s="27">
        <v>5079.4376300000004</v>
      </c>
      <c r="L14" s="27">
        <v>3945.9619400000001</v>
      </c>
      <c r="M14" s="27">
        <v>3952.1461399999998</v>
      </c>
      <c r="N14" s="27">
        <v>1689.47569</v>
      </c>
      <c r="O14" s="27">
        <v>7601.0563099999999</v>
      </c>
      <c r="P14" s="27">
        <v>42642.324229999998</v>
      </c>
      <c r="Q14" s="27">
        <v>91469.484460000007</v>
      </c>
      <c r="R14" s="27">
        <v>27322.52018</v>
      </c>
      <c r="S14" s="27">
        <v>37254.62141</v>
      </c>
      <c r="T14" s="27" t="s">
        <v>189</v>
      </c>
      <c r="U14" s="27" t="s">
        <v>189</v>
      </c>
      <c r="V14" s="28" t="s">
        <v>189</v>
      </c>
      <c r="W14" s="29">
        <v>42735</v>
      </c>
      <c r="X14" s="29">
        <v>42735</v>
      </c>
      <c r="Y14" s="29">
        <v>42735</v>
      </c>
      <c r="Z14" s="29">
        <v>42751</v>
      </c>
      <c r="AA14" s="29">
        <v>42751</v>
      </c>
      <c r="AB14" s="29">
        <v>42751</v>
      </c>
      <c r="AC14" s="27">
        <v>41864.537369999998</v>
      </c>
      <c r="AD14" s="27" t="s">
        <v>189</v>
      </c>
      <c r="AE14" s="27" t="s">
        <v>189</v>
      </c>
      <c r="AF14" s="27" t="s">
        <v>189</v>
      </c>
      <c r="AG14" s="27" t="s">
        <v>189</v>
      </c>
      <c r="AH14" s="27">
        <v>28519.473429999998</v>
      </c>
      <c r="AI14" s="27" t="s">
        <v>189</v>
      </c>
      <c r="AJ14" s="27" t="s">
        <v>189</v>
      </c>
      <c r="AK14" s="27" t="s">
        <v>189</v>
      </c>
      <c r="AL14" s="27">
        <v>1202.09087</v>
      </c>
      <c r="AM14" s="27">
        <v>1202.09087</v>
      </c>
      <c r="AN14" s="27">
        <v>36785.099739999998</v>
      </c>
      <c r="AO14" s="27">
        <v>5079.4376300000004</v>
      </c>
      <c r="AP14" s="27">
        <v>-437.01686999999998</v>
      </c>
      <c r="AQ14" s="27">
        <v>0</v>
      </c>
      <c r="AR14" s="27">
        <v>116.61636</v>
      </c>
      <c r="AS14" s="27">
        <v>500.77303999999998</v>
      </c>
      <c r="AT14" s="28">
        <v>-11.48495</v>
      </c>
      <c r="AU14" s="27">
        <v>-77.891480000000001</v>
      </c>
      <c r="AV14" s="27">
        <v>590.14945999999998</v>
      </c>
      <c r="AW14" s="27">
        <v>5696.8270300000004</v>
      </c>
      <c r="AX14" s="27" t="s">
        <v>189</v>
      </c>
      <c r="AY14" s="30">
        <v>2.8713000000000002E-2</v>
      </c>
      <c r="AZ14" s="27" t="s">
        <v>189</v>
      </c>
      <c r="BA14" s="31">
        <v>9.5276800000000001</v>
      </c>
      <c r="BB14" s="30">
        <v>0.17036799999999999</v>
      </c>
      <c r="BC14" s="27">
        <v>8145.9399199999998</v>
      </c>
      <c r="BD14" s="27">
        <v>3240.3763199999999</v>
      </c>
      <c r="BE14" s="27">
        <v>1874.2546199999999</v>
      </c>
      <c r="BF14" s="27" t="s">
        <v>189</v>
      </c>
      <c r="BG14" s="27">
        <v>1218.1063899999999</v>
      </c>
      <c r="BH14" s="30" t="s">
        <v>189</v>
      </c>
      <c r="BI14" s="27">
        <v>19100.264309999999</v>
      </c>
      <c r="BJ14" s="27" t="s">
        <v>189</v>
      </c>
      <c r="BK14" s="27">
        <v>133.83628999999999</v>
      </c>
      <c r="BL14" s="32" t="s">
        <v>189</v>
      </c>
      <c r="BM14" s="31" t="s">
        <v>189</v>
      </c>
      <c r="BN14" s="31" t="s">
        <v>189</v>
      </c>
      <c r="BO14" s="27" t="s">
        <v>189</v>
      </c>
      <c r="BP14" s="27" t="s">
        <v>189</v>
      </c>
      <c r="BQ14" s="27" t="s">
        <v>189</v>
      </c>
      <c r="BR14" s="27" t="s">
        <v>189</v>
      </c>
      <c r="BS14" s="27" t="s">
        <v>189</v>
      </c>
      <c r="BT14" s="27">
        <v>7086.23171</v>
      </c>
      <c r="BU14" s="31" t="s">
        <v>189</v>
      </c>
      <c r="BV14" s="33" t="s">
        <v>189</v>
      </c>
      <c r="BW14" s="27">
        <v>2360.6186699999998</v>
      </c>
      <c r="BX14" s="27">
        <v>2262.8442399999999</v>
      </c>
      <c r="BY14" s="27">
        <v>28045.266319999999</v>
      </c>
      <c r="BZ14" s="27">
        <v>54214.863060000003</v>
      </c>
      <c r="CA14" s="31" t="s">
        <v>189</v>
      </c>
      <c r="CB14" s="27" t="s">
        <v>189</v>
      </c>
      <c r="CC14" s="27">
        <v>2658.31765</v>
      </c>
      <c r="CD14" s="27">
        <v>91469.484460000007</v>
      </c>
      <c r="CE14" s="27" t="s">
        <v>189</v>
      </c>
      <c r="CF14" s="27" t="s">
        <v>189</v>
      </c>
      <c r="CG14" s="27" t="s">
        <v>189</v>
      </c>
      <c r="CH14" s="27" t="s">
        <v>189</v>
      </c>
      <c r="CI14" s="27" t="s">
        <v>189</v>
      </c>
      <c r="CJ14" s="30" t="s">
        <v>189</v>
      </c>
      <c r="CK14" s="27" t="s">
        <v>189</v>
      </c>
      <c r="CL14" s="27" t="s">
        <v>189</v>
      </c>
      <c r="CM14" s="27" t="s">
        <v>189</v>
      </c>
      <c r="CN14" s="27" t="s">
        <v>189</v>
      </c>
      <c r="CO14" s="27">
        <v>3945.9619400000001</v>
      </c>
      <c r="CP14" s="27">
        <v>6.1841999999999997</v>
      </c>
      <c r="CQ14" s="28">
        <v>1.3398099999999999</v>
      </c>
      <c r="CR14" s="27">
        <v>2949.5567900000001</v>
      </c>
      <c r="CS14" s="34" t="s">
        <v>189</v>
      </c>
      <c r="CT14" s="34" t="s">
        <v>189</v>
      </c>
      <c r="CU14" s="27">
        <v>5079.4376300000004</v>
      </c>
      <c r="CV14" s="27" t="s">
        <v>189</v>
      </c>
      <c r="CW14" s="27">
        <v>7132.4083000000001</v>
      </c>
      <c r="CX14" s="34">
        <v>0.26734600000000003</v>
      </c>
      <c r="CY14" s="27">
        <v>41933.299800000001</v>
      </c>
      <c r="CZ14" s="27" t="s">
        <v>189</v>
      </c>
      <c r="DA14" s="27" t="s">
        <v>189</v>
      </c>
      <c r="DB14" s="27" t="s">
        <v>189</v>
      </c>
      <c r="DC14" s="27" t="s">
        <v>189</v>
      </c>
      <c r="DD14" s="27" t="s">
        <v>189</v>
      </c>
      <c r="DE14" s="27">
        <v>3951.8516599999998</v>
      </c>
      <c r="DF14" s="27" t="s">
        <v>189</v>
      </c>
      <c r="DG14" s="27" t="s">
        <v>189</v>
      </c>
      <c r="DH14" s="27" t="s">
        <v>189</v>
      </c>
      <c r="DI14" s="27" t="s">
        <v>189</v>
      </c>
      <c r="DJ14" s="27" t="s">
        <v>189</v>
      </c>
      <c r="DK14" s="27" t="s">
        <v>189</v>
      </c>
      <c r="DL14" s="27" t="s">
        <v>189</v>
      </c>
      <c r="DM14" s="27" t="s">
        <v>189</v>
      </c>
      <c r="DN14" s="27" t="s">
        <v>189</v>
      </c>
      <c r="DO14" s="27" t="s">
        <v>189</v>
      </c>
      <c r="DP14" s="27">
        <v>5911.5806199999997</v>
      </c>
      <c r="DQ14" s="27">
        <v>738.89099999999996</v>
      </c>
      <c r="DR14" s="27">
        <v>140.92795000000001</v>
      </c>
      <c r="DS14" s="27">
        <v>0.45266000000000001</v>
      </c>
      <c r="DT14" s="27">
        <v>880.27161000000001</v>
      </c>
      <c r="DU14" s="27" t="s">
        <v>189</v>
      </c>
      <c r="DV14" s="27" t="s">
        <v>189</v>
      </c>
      <c r="DW14" s="27" t="s">
        <v>189</v>
      </c>
      <c r="DX14" s="27">
        <v>3532.70469</v>
      </c>
      <c r="DY14" s="27">
        <v>3532.70469</v>
      </c>
      <c r="DZ14" s="27" t="s">
        <v>189</v>
      </c>
      <c r="EA14" s="27" t="s">
        <v>189</v>
      </c>
      <c r="EB14" s="27">
        <v>58152.094340000003</v>
      </c>
      <c r="EC14" s="27">
        <v>15509.770109999999</v>
      </c>
      <c r="ED14" s="27">
        <v>5583.5534500000003</v>
      </c>
      <c r="EE14" s="27">
        <v>792.3048</v>
      </c>
      <c r="EF14" s="27">
        <v>20688.042529999999</v>
      </c>
      <c r="EG14" s="27" t="s">
        <v>189</v>
      </c>
      <c r="EH14" s="27">
        <v>2662.9951299999998</v>
      </c>
      <c r="EI14" s="27">
        <v>9242.0974499999993</v>
      </c>
      <c r="EJ14" s="27">
        <v>378.42324000000002</v>
      </c>
      <c r="EK14" s="27">
        <v>21425.87732</v>
      </c>
      <c r="EL14" s="27" t="s">
        <v>189</v>
      </c>
      <c r="EM14" s="27">
        <v>444.81328000000002</v>
      </c>
      <c r="EN14" s="27">
        <v>6931.8748599999999</v>
      </c>
      <c r="EO14" s="27">
        <v>6487.0615799999996</v>
      </c>
      <c r="EP14" s="27">
        <v>29197.586220000001</v>
      </c>
      <c r="EQ14" s="27" t="s">
        <v>189</v>
      </c>
      <c r="ER14" s="27">
        <v>3240.3763199999999</v>
      </c>
      <c r="ES14" s="27">
        <v>15283.28953</v>
      </c>
      <c r="ET14" s="27">
        <v>21480.347330000001</v>
      </c>
      <c r="EU14" s="27">
        <v>64577.141580000003</v>
      </c>
      <c r="EV14" s="27" t="s">
        <v>189</v>
      </c>
      <c r="EW14" s="27" t="s">
        <v>189</v>
      </c>
      <c r="EX14" s="33" t="s">
        <v>189</v>
      </c>
      <c r="EY14" s="32">
        <v>495.81290999999999</v>
      </c>
      <c r="EZ14" s="33" t="s">
        <v>189</v>
      </c>
      <c r="FA14" s="27">
        <v>1370.50172</v>
      </c>
      <c r="FB14" s="27">
        <v>26379.630690000002</v>
      </c>
      <c r="FC14" s="27" t="s">
        <v>189</v>
      </c>
      <c r="FD14" s="30">
        <v>6.3384999999999997E-2</v>
      </c>
      <c r="FE14" s="27" t="s">
        <v>189</v>
      </c>
      <c r="FF14" s="27" t="s">
        <v>189</v>
      </c>
      <c r="FG14" s="32" t="s">
        <v>189</v>
      </c>
      <c r="FH14" s="27" t="s">
        <v>189</v>
      </c>
      <c r="FI14" s="27" t="s">
        <v>189</v>
      </c>
      <c r="FJ14" s="27" t="s">
        <v>189</v>
      </c>
      <c r="FK14" s="27" t="s">
        <v>189</v>
      </c>
      <c r="FL14" s="27" t="s">
        <v>189</v>
      </c>
      <c r="FM14" s="27" t="s">
        <v>189</v>
      </c>
      <c r="FN14" s="27" t="s">
        <v>189</v>
      </c>
      <c r="FO14" s="27" t="s">
        <v>189</v>
      </c>
      <c r="FP14" s="27" t="s">
        <v>189</v>
      </c>
      <c r="FQ14" s="27" t="s">
        <v>189</v>
      </c>
      <c r="FR14" s="27" t="s">
        <v>189</v>
      </c>
      <c r="FS14" s="27" t="s">
        <v>189</v>
      </c>
      <c r="FT14" s="27" t="s">
        <v>189</v>
      </c>
      <c r="FU14" s="27" t="s">
        <v>189</v>
      </c>
      <c r="FV14" s="27">
        <v>1874.2546199999999</v>
      </c>
      <c r="FW14" s="27">
        <v>-1486.3825200000001</v>
      </c>
      <c r="FX14" s="27">
        <v>44676.12283</v>
      </c>
      <c r="FY14" s="35" t="s">
        <v>232</v>
      </c>
      <c r="FZ14" s="27" t="s">
        <v>189</v>
      </c>
      <c r="GA14" s="27" t="s">
        <v>189</v>
      </c>
      <c r="GB14" s="27" t="s">
        <v>189</v>
      </c>
      <c r="GC14" s="28">
        <v>0.15842999999999999</v>
      </c>
      <c r="GD14" s="27" t="s">
        <v>189</v>
      </c>
      <c r="GE14" s="30">
        <v>3.4738000000000005E-2</v>
      </c>
      <c r="GF14" s="27" t="s">
        <v>189</v>
      </c>
      <c r="GG14" s="27">
        <v>4031.5023900000001</v>
      </c>
      <c r="GH14" s="27" t="s">
        <v>189</v>
      </c>
      <c r="GI14" s="27" t="s">
        <v>189</v>
      </c>
      <c r="GK14" s="36" t="s">
        <v>229</v>
      </c>
      <c r="GL14" s="36" t="s">
        <v>230</v>
      </c>
      <c r="GM14" s="36" t="s">
        <v>215</v>
      </c>
      <c r="GN14" s="36" t="s">
        <v>215</v>
      </c>
      <c r="GO14" s="36" t="s">
        <v>215</v>
      </c>
    </row>
    <row r="15" spans="1:197">
      <c r="A15" s="2"/>
    </row>
    <row r="16" spans="1:19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</sheetData>
  <mergeCells count="1">
    <mergeCell ref="GK7:GO7"/>
  </mergeCells>
  <dataValidations disablePrompts="1" count="1">
    <dataValidation type="list" allowBlank="1" showInputMessage="1" showErrorMessage="1" sqref="D4">
      <formula1>"Current,Historical"</formula1>
    </dataValidation>
  </dataValidations>
  <pageMargins left="0.2" right="0.2" top="0.5" bottom="0.5" header="0.5" footer="0.5"/>
  <pageSetup fitToWidth="0" fitToHeight="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outlinePr summaryBelow="0" summaryRight="0"/>
    <pageSetUpPr autoPageBreaks="0"/>
  </sheetPr>
  <dimension ref="A6:IU15"/>
  <sheetViews>
    <sheetView zoomScaleNormal="100" workbookViewId="0">
      <selection activeCell="A9" sqref="A9"/>
    </sheetView>
  </sheetViews>
  <sheetFormatPr defaultRowHeight="11.25"/>
  <cols>
    <col min="1" max="1" width="26.85546875" customWidth="1"/>
    <col min="2" max="181" width="20.85546875" customWidth="1"/>
  </cols>
  <sheetData>
    <row r="6" spans="1:255" ht="16.5" customHeight="1">
      <c r="A6" s="1" t="s">
        <v>191</v>
      </c>
    </row>
    <row r="8" spans="1:255">
      <c r="A8" s="4" t="s">
        <v>192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</row>
    <row r="9" spans="1:255" ht="67.5">
      <c r="A9" s="6" t="s">
        <v>193</v>
      </c>
      <c r="B9" s="6" t="s">
        <v>4</v>
      </c>
      <c r="C9" s="6" t="s">
        <v>5</v>
      </c>
      <c r="D9" s="6" t="s">
        <v>6</v>
      </c>
      <c r="E9" s="6" t="s">
        <v>7</v>
      </c>
      <c r="F9" s="6" t="s">
        <v>8</v>
      </c>
      <c r="G9" s="6" t="s">
        <v>9</v>
      </c>
      <c r="H9" s="6" t="s">
        <v>10</v>
      </c>
      <c r="I9" s="6" t="s">
        <v>11</v>
      </c>
      <c r="J9" s="6" t="s">
        <v>12</v>
      </c>
      <c r="K9" s="6" t="s">
        <v>13</v>
      </c>
      <c r="L9" s="6" t="s">
        <v>14</v>
      </c>
      <c r="M9" s="6" t="s">
        <v>15</v>
      </c>
      <c r="N9" s="6" t="s">
        <v>16</v>
      </c>
      <c r="O9" s="6" t="s">
        <v>17</v>
      </c>
      <c r="P9" s="6" t="s">
        <v>18</v>
      </c>
      <c r="Q9" s="6" t="s">
        <v>19</v>
      </c>
      <c r="R9" s="6" t="s">
        <v>20</v>
      </c>
      <c r="S9" s="6" t="s">
        <v>21</v>
      </c>
      <c r="T9" s="6" t="s">
        <v>28</v>
      </c>
      <c r="U9" s="6" t="s">
        <v>29</v>
      </c>
      <c r="V9" s="6" t="s">
        <v>30</v>
      </c>
      <c r="W9" s="6" t="s">
        <v>31</v>
      </c>
      <c r="X9" s="6" t="s">
        <v>32</v>
      </c>
      <c r="Y9" s="6" t="s">
        <v>33</v>
      </c>
      <c r="Z9" s="6" t="s">
        <v>34</v>
      </c>
      <c r="AA9" s="6" t="s">
        <v>35</v>
      </c>
      <c r="AB9" s="6" t="s">
        <v>36</v>
      </c>
      <c r="AC9" s="6" t="s">
        <v>37</v>
      </c>
      <c r="AD9" s="6" t="s">
        <v>38</v>
      </c>
      <c r="AE9" s="6" t="s">
        <v>39</v>
      </c>
      <c r="AF9" s="6" t="s">
        <v>40</v>
      </c>
      <c r="AG9" s="6" t="s">
        <v>41</v>
      </c>
      <c r="AH9" s="6" t="s">
        <v>42</v>
      </c>
      <c r="AI9" s="6" t="s">
        <v>43</v>
      </c>
      <c r="AJ9" s="6" t="s">
        <v>44</v>
      </c>
      <c r="AK9" s="6" t="s">
        <v>45</v>
      </c>
      <c r="AL9" s="6" t="s">
        <v>46</v>
      </c>
      <c r="AM9" s="6" t="s">
        <v>47</v>
      </c>
      <c r="AN9" s="6" t="s">
        <v>48</v>
      </c>
      <c r="AO9" s="6" t="s">
        <v>49</v>
      </c>
      <c r="AP9" s="6" t="s">
        <v>50</v>
      </c>
      <c r="AQ9" s="6" t="s">
        <v>51</v>
      </c>
      <c r="AR9" s="6" t="s">
        <v>52</v>
      </c>
      <c r="AS9" s="6" t="s">
        <v>53</v>
      </c>
      <c r="AT9" s="6" t="s">
        <v>54</v>
      </c>
      <c r="AU9" s="6" t="s">
        <v>55</v>
      </c>
      <c r="AV9" s="6" t="s">
        <v>56</v>
      </c>
      <c r="AW9" s="6" t="s">
        <v>57</v>
      </c>
      <c r="AX9" s="6" t="s">
        <v>58</v>
      </c>
      <c r="AY9" s="6" t="s">
        <v>59</v>
      </c>
      <c r="AZ9" s="6" t="s">
        <v>60</v>
      </c>
      <c r="BA9" s="6" t="s">
        <v>61</v>
      </c>
      <c r="BB9" s="6" t="s">
        <v>62</v>
      </c>
      <c r="BC9" s="6" t="s">
        <v>63</v>
      </c>
      <c r="BD9" s="6" t="s">
        <v>64</v>
      </c>
      <c r="BE9" s="6" t="s">
        <v>65</v>
      </c>
      <c r="BF9" s="6" t="s">
        <v>66</v>
      </c>
      <c r="BG9" s="6" t="s">
        <v>67</v>
      </c>
      <c r="BH9" s="6" t="s">
        <v>68</v>
      </c>
      <c r="BI9" s="6" t="s">
        <v>69</v>
      </c>
      <c r="BJ9" s="6" t="s">
        <v>70</v>
      </c>
      <c r="BK9" s="6" t="s">
        <v>71</v>
      </c>
      <c r="BL9" s="6" t="s">
        <v>72</v>
      </c>
      <c r="BM9" s="6" t="s">
        <v>73</v>
      </c>
      <c r="BN9" s="6" t="s">
        <v>74</v>
      </c>
      <c r="BO9" s="6" t="s">
        <v>75</v>
      </c>
      <c r="BP9" s="6" t="s">
        <v>76</v>
      </c>
      <c r="BQ9" s="6" t="s">
        <v>77</v>
      </c>
      <c r="BR9" s="6" t="s">
        <v>78</v>
      </c>
      <c r="BS9" s="6" t="s">
        <v>79</v>
      </c>
      <c r="BT9" s="6" t="s">
        <v>80</v>
      </c>
      <c r="BU9" s="6" t="s">
        <v>81</v>
      </c>
      <c r="BV9" s="6" t="s">
        <v>82</v>
      </c>
      <c r="BW9" s="6" t="s">
        <v>83</v>
      </c>
      <c r="BX9" s="6" t="s">
        <v>84</v>
      </c>
      <c r="BY9" s="6" t="s">
        <v>85</v>
      </c>
      <c r="BZ9" s="6" t="s">
        <v>86</v>
      </c>
      <c r="CA9" s="6" t="s">
        <v>87</v>
      </c>
      <c r="CB9" s="6" t="s">
        <v>88</v>
      </c>
      <c r="CC9" s="6" t="s">
        <v>89</v>
      </c>
      <c r="CD9" s="6" t="s">
        <v>90</v>
      </c>
      <c r="CE9" s="6" t="s">
        <v>91</v>
      </c>
      <c r="CF9" s="6" t="s">
        <v>92</v>
      </c>
      <c r="CG9" s="6" t="s">
        <v>93</v>
      </c>
      <c r="CH9" s="6" t="s">
        <v>94</v>
      </c>
      <c r="CI9" s="6" t="s">
        <v>95</v>
      </c>
      <c r="CJ9" s="6" t="s">
        <v>96</v>
      </c>
      <c r="CK9" s="6" t="s">
        <v>97</v>
      </c>
      <c r="CL9" s="6" t="s">
        <v>98</v>
      </c>
      <c r="CM9" s="6" t="s">
        <v>99</v>
      </c>
      <c r="CN9" s="6" t="s">
        <v>100</v>
      </c>
      <c r="CO9" s="6" t="s">
        <v>101</v>
      </c>
      <c r="CP9" s="6" t="s">
        <v>102</v>
      </c>
      <c r="CQ9" s="6" t="s">
        <v>103</v>
      </c>
      <c r="CR9" s="6" t="s">
        <v>104</v>
      </c>
      <c r="CS9" s="6" t="s">
        <v>105</v>
      </c>
      <c r="CT9" s="6" t="s">
        <v>106</v>
      </c>
      <c r="CU9" s="6" t="s">
        <v>107</v>
      </c>
      <c r="CV9" s="6" t="s">
        <v>108</v>
      </c>
      <c r="CW9" s="6" t="s">
        <v>109</v>
      </c>
      <c r="CX9" s="6" t="s">
        <v>110</v>
      </c>
      <c r="CY9" s="6" t="s">
        <v>111</v>
      </c>
      <c r="CZ9" s="6" t="s">
        <v>112</v>
      </c>
      <c r="DA9" s="6" t="s">
        <v>113</v>
      </c>
      <c r="DB9" s="6" t="s">
        <v>114</v>
      </c>
      <c r="DC9" s="6" t="s">
        <v>115</v>
      </c>
      <c r="DD9" s="6" t="s">
        <v>116</v>
      </c>
      <c r="DE9" s="6" t="s">
        <v>117</v>
      </c>
      <c r="DF9" s="6" t="s">
        <v>118</v>
      </c>
      <c r="DG9" s="6" t="s">
        <v>119</v>
      </c>
      <c r="DH9" s="6" t="s">
        <v>120</v>
      </c>
      <c r="DI9" s="6" t="s">
        <v>121</v>
      </c>
      <c r="DJ9" s="6" t="s">
        <v>122</v>
      </c>
      <c r="DK9" s="6" t="s">
        <v>123</v>
      </c>
      <c r="DL9" s="6" t="s">
        <v>124</v>
      </c>
      <c r="DM9" s="6" t="s">
        <v>125</v>
      </c>
      <c r="DN9" s="6" t="s">
        <v>126</v>
      </c>
      <c r="DO9" s="6" t="s">
        <v>127</v>
      </c>
      <c r="DP9" s="6" t="s">
        <v>128</v>
      </c>
      <c r="DQ9" s="6" t="s">
        <v>129</v>
      </c>
      <c r="DR9" s="6" t="s">
        <v>130</v>
      </c>
      <c r="DS9" s="6" t="s">
        <v>131</v>
      </c>
      <c r="DT9" s="6" t="s">
        <v>132</v>
      </c>
      <c r="DU9" s="6" t="s">
        <v>133</v>
      </c>
      <c r="DV9" s="6" t="s">
        <v>134</v>
      </c>
      <c r="DW9" s="6" t="s">
        <v>135</v>
      </c>
      <c r="DX9" s="6" t="s">
        <v>136</v>
      </c>
      <c r="DY9" s="6" t="s">
        <v>137</v>
      </c>
      <c r="DZ9" s="6" t="s">
        <v>138</v>
      </c>
      <c r="EA9" s="6" t="s">
        <v>139</v>
      </c>
      <c r="EB9" s="6" t="s">
        <v>140</v>
      </c>
      <c r="EC9" s="6" t="s">
        <v>141</v>
      </c>
      <c r="ED9" s="6" t="s">
        <v>142</v>
      </c>
      <c r="EE9" s="6" t="s">
        <v>143</v>
      </c>
      <c r="EF9" s="6" t="s">
        <v>144</v>
      </c>
      <c r="EG9" s="6" t="s">
        <v>145</v>
      </c>
      <c r="EH9" s="6" t="s">
        <v>146</v>
      </c>
      <c r="EI9" s="6" t="s">
        <v>147</v>
      </c>
      <c r="EJ9" s="6" t="s">
        <v>148</v>
      </c>
      <c r="EK9" s="6" t="s">
        <v>149</v>
      </c>
      <c r="EL9" s="6" t="s">
        <v>150</v>
      </c>
      <c r="EM9" s="6" t="s">
        <v>151</v>
      </c>
      <c r="EN9" s="6" t="s">
        <v>152</v>
      </c>
      <c r="EO9" s="6" t="s">
        <v>153</v>
      </c>
      <c r="EP9" s="6" t="s">
        <v>154</v>
      </c>
      <c r="EQ9" s="6" t="s">
        <v>155</v>
      </c>
      <c r="ER9" s="6" t="s">
        <v>156</v>
      </c>
      <c r="ES9" s="6" t="s">
        <v>157</v>
      </c>
      <c r="ET9" s="6" t="s">
        <v>158</v>
      </c>
      <c r="EU9" s="6" t="s">
        <v>159</v>
      </c>
      <c r="EV9" s="6" t="s">
        <v>56</v>
      </c>
      <c r="EW9" s="6" t="s">
        <v>160</v>
      </c>
      <c r="EX9" s="6" t="s">
        <v>161</v>
      </c>
      <c r="EY9" s="6" t="s">
        <v>162</v>
      </c>
      <c r="EZ9" s="6" t="s">
        <v>163</v>
      </c>
      <c r="FA9" s="6" t="s">
        <v>164</v>
      </c>
      <c r="FB9" s="6" t="s">
        <v>165</v>
      </c>
      <c r="FC9" s="6" t="s">
        <v>166</v>
      </c>
      <c r="FD9" s="6" t="s">
        <v>167</v>
      </c>
      <c r="FE9" s="6" t="s">
        <v>168</v>
      </c>
      <c r="FF9" s="6" t="s">
        <v>169</v>
      </c>
      <c r="FG9" s="6" t="s">
        <v>170</v>
      </c>
      <c r="FH9" s="6" t="s">
        <v>171</v>
      </c>
      <c r="FI9" s="6" t="s">
        <v>172</v>
      </c>
      <c r="FJ9" s="6" t="s">
        <v>173</v>
      </c>
      <c r="FK9" s="6" t="s">
        <v>174</v>
      </c>
      <c r="FL9" s="6" t="s">
        <v>175</v>
      </c>
      <c r="FM9" s="6" t="s">
        <v>57</v>
      </c>
      <c r="FN9" s="6" t="s">
        <v>176</v>
      </c>
      <c r="FO9" s="6" t="s">
        <v>177</v>
      </c>
      <c r="FP9" s="6" t="s">
        <v>178</v>
      </c>
      <c r="FQ9" s="6" t="s">
        <v>179</v>
      </c>
      <c r="FR9" s="6" t="s">
        <v>180</v>
      </c>
      <c r="FS9" s="6" t="s">
        <v>181</v>
      </c>
      <c r="FT9" s="6" t="s">
        <v>182</v>
      </c>
      <c r="FU9" s="6" t="s">
        <v>183</v>
      </c>
      <c r="FV9" s="6" t="s">
        <v>184</v>
      </c>
      <c r="FW9" s="6" t="s">
        <v>185</v>
      </c>
      <c r="FX9" s="6" t="s">
        <v>186</v>
      </c>
      <c r="FY9" s="6" t="s">
        <v>187</v>
      </c>
    </row>
    <row r="10" spans="1:255">
      <c r="A10" s="7" t="s">
        <v>194</v>
      </c>
      <c r="B10" s="8">
        <v>521385.2</v>
      </c>
      <c r="C10" s="8">
        <v>488522.9</v>
      </c>
      <c r="D10" s="9" t="s">
        <v>195</v>
      </c>
      <c r="E10" s="8">
        <v>358374.9</v>
      </c>
      <c r="F10" s="8">
        <v>117978.6</v>
      </c>
      <c r="G10" s="8">
        <v>48281.7</v>
      </c>
      <c r="H10" s="8">
        <v>30902.9</v>
      </c>
      <c r="I10" s="8">
        <v>20342.7</v>
      </c>
      <c r="J10" s="8">
        <v>19940.8</v>
      </c>
      <c r="K10" s="8">
        <v>66048.3</v>
      </c>
      <c r="L10" s="8">
        <v>80328.5</v>
      </c>
      <c r="M10" s="8">
        <v>224756.4</v>
      </c>
      <c r="N10" s="8">
        <v>1202346.3999999999</v>
      </c>
      <c r="O10" s="8">
        <v>239321.2</v>
      </c>
      <c r="P10" s="8">
        <v>224794.2</v>
      </c>
      <c r="Q10" s="8">
        <v>11175</v>
      </c>
      <c r="R10" s="8">
        <v>28859.3</v>
      </c>
      <c r="S10" s="8">
        <v>2.85</v>
      </c>
      <c r="T10" s="8">
        <v>346712.6</v>
      </c>
      <c r="U10" s="8">
        <v>11662.3</v>
      </c>
      <c r="V10" s="8">
        <v>1828.1</v>
      </c>
      <c r="W10" s="8">
        <v>14716.5</v>
      </c>
      <c r="X10" s="8">
        <v>-4882.2</v>
      </c>
      <c r="Y10" s="8">
        <v>240396.3</v>
      </c>
      <c r="Z10" s="9">
        <v>0</v>
      </c>
      <c r="AA10" s="9">
        <v>0</v>
      </c>
      <c r="AB10" s="9">
        <v>0</v>
      </c>
      <c r="AC10" s="8">
        <v>35376.800000000003</v>
      </c>
      <c r="AD10" s="8">
        <v>34956.800000000003</v>
      </c>
      <c r="AE10" s="8">
        <v>322592.3</v>
      </c>
      <c r="AF10" s="8">
        <v>35782.6</v>
      </c>
      <c r="AG10" s="8">
        <v>-8650.7000000000007</v>
      </c>
      <c r="AH10" s="9">
        <v>0</v>
      </c>
      <c r="AI10" s="8">
        <v>-5128.3</v>
      </c>
      <c r="AJ10" s="8">
        <v>818.7</v>
      </c>
      <c r="AK10" s="8">
        <v>983.9</v>
      </c>
      <c r="AL10" s="8">
        <v>-1329.5</v>
      </c>
      <c r="AM10" s="8">
        <v>1164.3</v>
      </c>
      <c r="AN10" s="8">
        <v>31473</v>
      </c>
      <c r="AO10" s="8">
        <v>53.3</v>
      </c>
      <c r="AP10" s="8">
        <v>1509.3</v>
      </c>
      <c r="AQ10" s="9" t="s">
        <v>195</v>
      </c>
      <c r="AR10" s="8">
        <v>268.7</v>
      </c>
      <c r="AS10" s="8">
        <v>586</v>
      </c>
      <c r="AT10" s="8">
        <v>51180.7</v>
      </c>
      <c r="AU10" s="8">
        <v>121011.6</v>
      </c>
      <c r="AV10" s="8">
        <v>17339.900000000001</v>
      </c>
      <c r="AW10" s="8">
        <v>13927.8</v>
      </c>
      <c r="AX10" s="8">
        <v>10174.700000000001</v>
      </c>
      <c r="AY10" s="8">
        <v>165.4</v>
      </c>
      <c r="AZ10" s="8">
        <v>209350.39999999999</v>
      </c>
      <c r="BA10" s="8">
        <v>84238.9</v>
      </c>
      <c r="BB10" s="8">
        <v>18452.599999999999</v>
      </c>
      <c r="BC10" s="8">
        <v>-1423.4</v>
      </c>
      <c r="BD10" s="8">
        <v>308.60000000000002</v>
      </c>
      <c r="BE10" s="8">
        <v>4.3099999999999996</v>
      </c>
      <c r="BF10" s="9" t="s">
        <v>195</v>
      </c>
      <c r="BG10" s="9" t="s">
        <v>195</v>
      </c>
      <c r="BH10" s="8">
        <v>120100000</v>
      </c>
      <c r="BI10" s="8">
        <v>243.8</v>
      </c>
      <c r="BJ10" s="8">
        <v>9046.4</v>
      </c>
      <c r="BK10" s="8">
        <v>31177.3</v>
      </c>
      <c r="BL10" s="8">
        <v>731.6</v>
      </c>
      <c r="BM10" s="8">
        <v>61.6</v>
      </c>
      <c r="BN10" s="8">
        <v>12450.6</v>
      </c>
      <c r="BO10" s="8">
        <v>9719.9</v>
      </c>
      <c r="BP10" s="8">
        <v>703004</v>
      </c>
      <c r="BQ10" s="8">
        <v>977552.2</v>
      </c>
      <c r="BR10" s="8">
        <v>3.66</v>
      </c>
      <c r="BS10" s="8">
        <v>-2437.8000000000002</v>
      </c>
      <c r="BT10" s="8">
        <v>77634</v>
      </c>
      <c r="BU10" s="8">
        <v>1202346.3999999999</v>
      </c>
      <c r="BV10" s="8">
        <v>-0.122</v>
      </c>
      <c r="BW10" s="8">
        <v>8948.4</v>
      </c>
      <c r="BX10" s="8">
        <v>6982.8</v>
      </c>
      <c r="BY10" s="8">
        <v>-0.122</v>
      </c>
      <c r="BZ10" s="9" t="s">
        <v>195</v>
      </c>
      <c r="CA10" s="8">
        <v>295.60000000000002</v>
      </c>
      <c r="CB10" s="9" t="s">
        <v>195</v>
      </c>
      <c r="CC10" s="8">
        <v>20.8</v>
      </c>
      <c r="CD10" s="8">
        <v>3.47</v>
      </c>
      <c r="CE10" s="8">
        <v>-26</v>
      </c>
      <c r="CF10" s="8">
        <v>20316.8</v>
      </c>
      <c r="CG10" s="8">
        <v>-375.9</v>
      </c>
      <c r="CH10" s="8">
        <v>11.4</v>
      </c>
      <c r="CI10" s="8">
        <v>121197.6</v>
      </c>
      <c r="CJ10" s="9" t="s">
        <v>195</v>
      </c>
      <c r="CK10" s="8">
        <v>1194.5</v>
      </c>
      <c r="CL10" s="8">
        <v>31822.2</v>
      </c>
      <c r="CM10" s="8">
        <v>30547.4</v>
      </c>
      <c r="CN10" s="8">
        <v>20142.7</v>
      </c>
      <c r="CO10" s="8">
        <v>1074.0999999999999</v>
      </c>
      <c r="CP10" s="8">
        <v>304574</v>
      </c>
      <c r="CQ10" s="8">
        <v>1456.5</v>
      </c>
      <c r="CR10" s="9" t="s">
        <v>195</v>
      </c>
      <c r="CS10" s="8">
        <v>2202.5</v>
      </c>
      <c r="CT10" s="8">
        <v>1256.7</v>
      </c>
      <c r="CU10" s="9" t="s">
        <v>195</v>
      </c>
      <c r="CV10" s="8">
        <v>19955.7</v>
      </c>
      <c r="CW10" s="8">
        <v>361.2</v>
      </c>
      <c r="CX10" s="8">
        <v>294.60000000000002</v>
      </c>
      <c r="CY10" s="8">
        <v>26.3</v>
      </c>
      <c r="CZ10" s="9" t="s">
        <v>195</v>
      </c>
      <c r="DA10" s="9" t="s">
        <v>195</v>
      </c>
      <c r="DB10" s="9" t="s">
        <v>195</v>
      </c>
      <c r="DC10" s="8">
        <v>84.6</v>
      </c>
      <c r="DD10" s="8">
        <v>21.1</v>
      </c>
      <c r="DE10" s="9" t="s">
        <v>195</v>
      </c>
      <c r="DF10" s="8">
        <v>-0.63100000000000001</v>
      </c>
      <c r="DG10" s="8">
        <v>14036.3</v>
      </c>
      <c r="DH10" s="8">
        <v>31240.7</v>
      </c>
      <c r="DI10" s="8">
        <v>8905.7000000000007</v>
      </c>
      <c r="DJ10" s="8">
        <v>5141.8999999999996</v>
      </c>
      <c r="DK10" s="8">
        <v>45288.3</v>
      </c>
      <c r="DL10" s="8">
        <v>471.5</v>
      </c>
      <c r="DM10" s="9" t="s">
        <v>195</v>
      </c>
      <c r="DN10" s="9" t="s">
        <v>195</v>
      </c>
      <c r="DO10" s="8">
        <v>27575.599999999999</v>
      </c>
      <c r="DP10" s="8">
        <v>52084.800000000003</v>
      </c>
      <c r="DQ10" s="9" t="s">
        <v>195</v>
      </c>
      <c r="DR10" s="8">
        <v>24509.200000000001</v>
      </c>
      <c r="DS10" s="8">
        <v>362247.9</v>
      </c>
      <c r="DT10" s="8">
        <v>137521</v>
      </c>
      <c r="DU10" s="8">
        <v>193709.5</v>
      </c>
      <c r="DV10" s="8">
        <v>13747.1</v>
      </c>
      <c r="DW10" s="8">
        <v>29117.7</v>
      </c>
      <c r="DX10" s="9" t="s">
        <v>195</v>
      </c>
      <c r="DY10" s="8">
        <v>531665.4</v>
      </c>
      <c r="DZ10" s="8">
        <v>579116.1</v>
      </c>
      <c r="EA10" s="8">
        <v>16938.099999999999</v>
      </c>
      <c r="EB10" s="8">
        <v>178971.1</v>
      </c>
      <c r="EC10" s="8">
        <v>1854.6</v>
      </c>
      <c r="ED10" s="8">
        <v>10795.1</v>
      </c>
      <c r="EE10" s="8">
        <v>42217.2</v>
      </c>
      <c r="EF10" s="8">
        <v>31422.1</v>
      </c>
      <c r="EG10" s="8">
        <v>142821.79999999999</v>
      </c>
      <c r="EH10" s="8">
        <v>7.91</v>
      </c>
      <c r="EI10" s="8">
        <v>121014.6</v>
      </c>
      <c r="EJ10" s="8">
        <v>176320</v>
      </c>
      <c r="EK10" s="8">
        <v>42864.800000000003</v>
      </c>
      <c r="EL10" s="8">
        <v>313571.20000000001</v>
      </c>
      <c r="EM10" s="8">
        <v>-158559.6</v>
      </c>
      <c r="EN10" s="9" t="s">
        <v>195</v>
      </c>
      <c r="EO10" s="8">
        <v>1057868</v>
      </c>
      <c r="EP10" s="8">
        <v>8484.6</v>
      </c>
      <c r="EQ10" s="8">
        <v>1057858</v>
      </c>
      <c r="ER10" s="8">
        <v>4424.2</v>
      </c>
      <c r="ES10" s="8">
        <v>40891.5</v>
      </c>
      <c r="ET10" s="8">
        <v>22701.1</v>
      </c>
      <c r="EU10" s="8">
        <v>251.6</v>
      </c>
      <c r="EV10" s="8">
        <v>15516.5</v>
      </c>
      <c r="EW10" s="8">
        <v>14612.8</v>
      </c>
      <c r="EX10" s="8">
        <v>-11.6</v>
      </c>
      <c r="EY10" s="9" t="s">
        <v>195</v>
      </c>
      <c r="EZ10" s="8">
        <v>7409.1</v>
      </c>
      <c r="FA10" s="8">
        <v>45858.1</v>
      </c>
      <c r="FB10" s="8">
        <v>-32152.5</v>
      </c>
      <c r="FC10" s="8">
        <v>8808.6</v>
      </c>
      <c r="FD10" s="9" t="s">
        <v>195</v>
      </c>
      <c r="FE10" s="8">
        <v>12876.2</v>
      </c>
      <c r="FF10" s="8">
        <v>0.29399999999999998</v>
      </c>
      <c r="FG10" s="9" t="s">
        <v>195</v>
      </c>
      <c r="FH10" s="8">
        <v>40016.5</v>
      </c>
      <c r="FI10" s="8">
        <v>13312.6</v>
      </c>
      <c r="FJ10" s="8">
        <v>-467.9</v>
      </c>
      <c r="FK10" s="9" t="s">
        <v>195</v>
      </c>
      <c r="FL10" s="9" t="s">
        <v>195</v>
      </c>
      <c r="FM10" s="8">
        <v>16429.599999999999</v>
      </c>
      <c r="FN10" s="8">
        <v>14085.5</v>
      </c>
      <c r="FO10" s="8">
        <v>405560.1</v>
      </c>
      <c r="FP10" s="9" t="s">
        <v>195</v>
      </c>
      <c r="FQ10" s="9" t="s">
        <v>195</v>
      </c>
      <c r="FR10" s="9" t="s">
        <v>195</v>
      </c>
      <c r="FS10" s="8">
        <v>4.53</v>
      </c>
      <c r="FT10" s="9" t="s">
        <v>195</v>
      </c>
      <c r="FU10" s="8">
        <v>212</v>
      </c>
      <c r="FV10" s="9" t="s">
        <v>195</v>
      </c>
      <c r="FW10" s="8">
        <v>23677.9</v>
      </c>
      <c r="FX10" s="9" t="s">
        <v>195</v>
      </c>
      <c r="FY10" s="9" t="s">
        <v>195</v>
      </c>
    </row>
    <row r="11" spans="1:255">
      <c r="A11" s="7" t="s">
        <v>196</v>
      </c>
      <c r="B11" s="8">
        <v>12125.2</v>
      </c>
      <c r="C11" s="8">
        <v>15266.3</v>
      </c>
      <c r="D11" s="9" t="s">
        <v>195</v>
      </c>
      <c r="E11" s="8">
        <v>7167.5</v>
      </c>
      <c r="F11" s="8">
        <v>2359.6</v>
      </c>
      <c r="G11" s="8">
        <v>985.3</v>
      </c>
      <c r="H11" s="8">
        <v>618.1</v>
      </c>
      <c r="I11" s="8">
        <v>406.9</v>
      </c>
      <c r="J11" s="8">
        <v>398.8</v>
      </c>
      <c r="K11" s="8">
        <v>1347.9</v>
      </c>
      <c r="L11" s="8">
        <v>1639.4</v>
      </c>
      <c r="M11" s="8">
        <v>4586.8999999999996</v>
      </c>
      <c r="N11" s="8">
        <v>24537.7</v>
      </c>
      <c r="O11" s="8">
        <v>4884.1000000000004</v>
      </c>
      <c r="P11" s="8">
        <v>4587.6000000000004</v>
      </c>
      <c r="Q11" s="8">
        <v>302</v>
      </c>
      <c r="R11" s="8">
        <v>780</v>
      </c>
      <c r="S11" s="8">
        <v>5.7000000000000002E-2</v>
      </c>
      <c r="T11" s="8">
        <v>6934.3</v>
      </c>
      <c r="U11" s="8">
        <v>233.2</v>
      </c>
      <c r="V11" s="8">
        <v>36.6</v>
      </c>
      <c r="W11" s="8">
        <v>294.3</v>
      </c>
      <c r="X11" s="8">
        <v>-97.6</v>
      </c>
      <c r="Y11" s="8">
        <v>4807.8999999999996</v>
      </c>
      <c r="Z11" s="9">
        <v>0</v>
      </c>
      <c r="AA11" s="9">
        <v>0</v>
      </c>
      <c r="AB11" s="9">
        <v>0</v>
      </c>
      <c r="AC11" s="8">
        <v>707.5</v>
      </c>
      <c r="AD11" s="8">
        <v>699.1</v>
      </c>
      <c r="AE11" s="8">
        <v>6451.8</v>
      </c>
      <c r="AF11" s="8">
        <v>715.7</v>
      </c>
      <c r="AG11" s="8">
        <v>-173</v>
      </c>
      <c r="AH11" s="9">
        <v>0</v>
      </c>
      <c r="AI11" s="8">
        <v>-102.6</v>
      </c>
      <c r="AJ11" s="8">
        <v>16.399999999999999</v>
      </c>
      <c r="AK11" s="8">
        <v>19.7</v>
      </c>
      <c r="AL11" s="8">
        <v>-26.6</v>
      </c>
      <c r="AM11" s="8">
        <v>23.3</v>
      </c>
      <c r="AN11" s="8">
        <v>629.5</v>
      </c>
      <c r="AO11" s="8">
        <v>13.3</v>
      </c>
      <c r="AP11" s="8">
        <v>31.4</v>
      </c>
      <c r="AQ11" s="9" t="s">
        <v>195</v>
      </c>
      <c r="AR11" s="8">
        <v>10.7</v>
      </c>
      <c r="AS11" s="8">
        <v>15.4</v>
      </c>
      <c r="AT11" s="8">
        <v>1764.9</v>
      </c>
      <c r="AU11" s="8">
        <v>2420.1999999999998</v>
      </c>
      <c r="AV11" s="8">
        <v>495.4</v>
      </c>
      <c r="AW11" s="8">
        <v>376.4</v>
      </c>
      <c r="AX11" s="8">
        <v>254.4</v>
      </c>
      <c r="AY11" s="8">
        <v>3.85</v>
      </c>
      <c r="AZ11" s="8">
        <v>4272.5</v>
      </c>
      <c r="BA11" s="8">
        <v>14039.8</v>
      </c>
      <c r="BB11" s="8">
        <v>392.6</v>
      </c>
      <c r="BC11" s="8">
        <v>-89</v>
      </c>
      <c r="BD11" s="8">
        <v>44.1</v>
      </c>
      <c r="BE11" s="8">
        <v>0.61499999999999999</v>
      </c>
      <c r="BF11" s="9" t="s">
        <v>195</v>
      </c>
      <c r="BG11" s="9" t="s">
        <v>195</v>
      </c>
      <c r="BH11" s="8">
        <v>40033333.299999997</v>
      </c>
      <c r="BI11" s="8">
        <v>243.8</v>
      </c>
      <c r="BJ11" s="8">
        <v>3015.5</v>
      </c>
      <c r="BK11" s="8">
        <v>779.4</v>
      </c>
      <c r="BL11" s="8">
        <v>182.9</v>
      </c>
      <c r="BM11" s="8">
        <v>15.4</v>
      </c>
      <c r="BN11" s="8">
        <v>415</v>
      </c>
      <c r="BO11" s="8">
        <v>347.1</v>
      </c>
      <c r="BP11" s="8">
        <v>14347</v>
      </c>
      <c r="BQ11" s="8">
        <v>19950</v>
      </c>
      <c r="BR11" s="8">
        <v>0.91500000000000004</v>
      </c>
      <c r="BS11" s="8">
        <v>-135.4</v>
      </c>
      <c r="BT11" s="8">
        <v>1617.4</v>
      </c>
      <c r="BU11" s="8">
        <v>24537.7</v>
      </c>
      <c r="BV11" s="8">
        <v>-0.122</v>
      </c>
      <c r="BW11" s="8">
        <v>2982.8</v>
      </c>
      <c r="BX11" s="8">
        <v>6982.8</v>
      </c>
      <c r="BY11" s="8">
        <v>-0.122</v>
      </c>
      <c r="BZ11" s="9" t="s">
        <v>195</v>
      </c>
      <c r="CA11" s="8">
        <v>9.85</v>
      </c>
      <c r="CB11" s="9" t="s">
        <v>195</v>
      </c>
      <c r="CC11" s="8">
        <v>6.93</v>
      </c>
      <c r="CD11" s="8">
        <v>1.74</v>
      </c>
      <c r="CE11" s="8">
        <v>-8.66</v>
      </c>
      <c r="CF11" s="8">
        <v>406.3</v>
      </c>
      <c r="CG11" s="8">
        <v>-11.4</v>
      </c>
      <c r="CH11" s="8">
        <v>0.22800000000000001</v>
      </c>
      <c r="CI11" s="8">
        <v>2424</v>
      </c>
      <c r="CJ11" s="9" t="s">
        <v>195</v>
      </c>
      <c r="CK11" s="8">
        <v>49.8</v>
      </c>
      <c r="CL11" s="8">
        <v>816</v>
      </c>
      <c r="CM11" s="8">
        <v>1328.1</v>
      </c>
      <c r="CN11" s="8">
        <v>530.1</v>
      </c>
      <c r="CO11" s="8">
        <v>30.7</v>
      </c>
      <c r="CP11" s="8">
        <v>8958.1</v>
      </c>
      <c r="CQ11" s="8">
        <v>80.900000000000006</v>
      </c>
      <c r="CR11" s="9" t="s">
        <v>195</v>
      </c>
      <c r="CS11" s="8">
        <v>75.900000000000006</v>
      </c>
      <c r="CT11" s="8">
        <v>89.8</v>
      </c>
      <c r="CU11" s="9" t="s">
        <v>195</v>
      </c>
      <c r="CV11" s="8">
        <v>399.1</v>
      </c>
      <c r="CW11" s="8">
        <v>16.399999999999999</v>
      </c>
      <c r="CX11" s="8">
        <v>13.4</v>
      </c>
      <c r="CY11" s="8">
        <v>4.3899999999999997</v>
      </c>
      <c r="CZ11" s="9" t="s">
        <v>195</v>
      </c>
      <c r="DA11" s="9" t="s">
        <v>195</v>
      </c>
      <c r="DB11" s="9" t="s">
        <v>195</v>
      </c>
      <c r="DC11" s="8">
        <v>8.4600000000000009</v>
      </c>
      <c r="DD11" s="8">
        <v>5.26</v>
      </c>
      <c r="DE11" s="9" t="s">
        <v>195</v>
      </c>
      <c r="DF11" s="8">
        <v>-0.63100000000000001</v>
      </c>
      <c r="DG11" s="8">
        <v>438.6</v>
      </c>
      <c r="DH11" s="8">
        <v>822.1</v>
      </c>
      <c r="DI11" s="8">
        <v>228.4</v>
      </c>
      <c r="DJ11" s="8">
        <v>177.3</v>
      </c>
      <c r="DK11" s="8">
        <v>1132.2</v>
      </c>
      <c r="DL11" s="8">
        <v>27.7</v>
      </c>
      <c r="DM11" s="9" t="s">
        <v>195</v>
      </c>
      <c r="DN11" s="9" t="s">
        <v>195</v>
      </c>
      <c r="DO11" s="8">
        <v>562.79999999999995</v>
      </c>
      <c r="DP11" s="8">
        <v>1063</v>
      </c>
      <c r="DQ11" s="9" t="s">
        <v>195</v>
      </c>
      <c r="DR11" s="8">
        <v>1885.3</v>
      </c>
      <c r="DS11" s="8">
        <v>7546.8</v>
      </c>
      <c r="DT11" s="8">
        <v>2865</v>
      </c>
      <c r="DU11" s="8">
        <v>4035.6</v>
      </c>
      <c r="DV11" s="8">
        <v>509.2</v>
      </c>
      <c r="DW11" s="8">
        <v>727.9</v>
      </c>
      <c r="DX11" s="9" t="s">
        <v>195</v>
      </c>
      <c r="DY11" s="8">
        <v>10850.3</v>
      </c>
      <c r="DZ11" s="8">
        <v>11818.7</v>
      </c>
      <c r="EA11" s="8">
        <v>345.7</v>
      </c>
      <c r="EB11" s="8">
        <v>4067.5</v>
      </c>
      <c r="EC11" s="8">
        <v>168.6</v>
      </c>
      <c r="ED11" s="8">
        <v>220.3</v>
      </c>
      <c r="EE11" s="8">
        <v>861.6</v>
      </c>
      <c r="EF11" s="8">
        <v>714.1</v>
      </c>
      <c r="EG11" s="8">
        <v>2975.5</v>
      </c>
      <c r="EH11" s="8">
        <v>7.91</v>
      </c>
      <c r="EI11" s="8">
        <v>2420.3000000000002</v>
      </c>
      <c r="EJ11" s="8">
        <v>3598.4</v>
      </c>
      <c r="EK11" s="8">
        <v>1020.6</v>
      </c>
      <c r="EL11" s="8">
        <v>8251.9</v>
      </c>
      <c r="EM11" s="8">
        <v>-9910</v>
      </c>
      <c r="EN11" s="9" t="s">
        <v>195</v>
      </c>
      <c r="EO11" s="8">
        <v>50374.7</v>
      </c>
      <c r="EP11" s="8">
        <v>257.10000000000002</v>
      </c>
      <c r="EQ11" s="8">
        <v>50374.2</v>
      </c>
      <c r="ER11" s="8">
        <v>210.7</v>
      </c>
      <c r="ES11" s="8">
        <v>929.4</v>
      </c>
      <c r="ET11" s="8">
        <v>648.6</v>
      </c>
      <c r="EU11" s="8">
        <v>7.4</v>
      </c>
      <c r="EV11" s="8">
        <v>419.4</v>
      </c>
      <c r="EW11" s="8">
        <v>394.9</v>
      </c>
      <c r="EX11" s="8">
        <v>-0.504</v>
      </c>
      <c r="EY11" s="9" t="s">
        <v>195</v>
      </c>
      <c r="EZ11" s="8">
        <v>200.2</v>
      </c>
      <c r="FA11" s="8">
        <v>1479.3</v>
      </c>
      <c r="FB11" s="8">
        <v>-1286.0999999999999</v>
      </c>
      <c r="FC11" s="8">
        <v>238.1</v>
      </c>
      <c r="FD11" s="9" t="s">
        <v>195</v>
      </c>
      <c r="FE11" s="8">
        <v>2146</v>
      </c>
      <c r="FF11" s="8">
        <v>0.29399999999999998</v>
      </c>
      <c r="FG11" s="9" t="s">
        <v>195</v>
      </c>
      <c r="FH11" s="8">
        <v>6669.4</v>
      </c>
      <c r="FI11" s="8">
        <v>2218.8000000000002</v>
      </c>
      <c r="FJ11" s="8">
        <v>-467.9</v>
      </c>
      <c r="FK11" s="9" t="s">
        <v>195</v>
      </c>
      <c r="FL11" s="9" t="s">
        <v>195</v>
      </c>
      <c r="FM11" s="8">
        <v>469.4</v>
      </c>
      <c r="FN11" s="8">
        <v>563.4</v>
      </c>
      <c r="FO11" s="8">
        <v>8111.2</v>
      </c>
      <c r="FP11" s="9" t="s">
        <v>195</v>
      </c>
      <c r="FQ11" s="9" t="s">
        <v>195</v>
      </c>
      <c r="FR11" s="9" t="s">
        <v>195</v>
      </c>
      <c r="FS11" s="8">
        <v>0.11600000000000001</v>
      </c>
      <c r="FT11" s="9" t="s">
        <v>195</v>
      </c>
      <c r="FU11" s="8">
        <v>5.89</v>
      </c>
      <c r="FV11" s="9" t="s">
        <v>195</v>
      </c>
      <c r="FW11" s="8">
        <v>591.9</v>
      </c>
      <c r="FX11" s="9" t="s">
        <v>195</v>
      </c>
      <c r="FY11" s="9" t="s">
        <v>195</v>
      </c>
    </row>
    <row r="12" spans="1:255">
      <c r="A12" s="7" t="s">
        <v>197</v>
      </c>
      <c r="B12" s="8">
        <v>118</v>
      </c>
      <c r="C12" s="8">
        <v>837.1</v>
      </c>
      <c r="D12" s="9" t="s">
        <v>195</v>
      </c>
      <c r="E12" s="8">
        <v>-188.6</v>
      </c>
      <c r="F12" s="8">
        <v>-188.6</v>
      </c>
      <c r="G12" s="8">
        <v>-520.4</v>
      </c>
      <c r="H12" s="8">
        <v>-1169.4000000000001</v>
      </c>
      <c r="I12" s="8">
        <v>-947</v>
      </c>
      <c r="J12" s="8">
        <v>-936.1</v>
      </c>
      <c r="K12" s="8">
        <v>11.6</v>
      </c>
      <c r="L12" s="8">
        <v>11.6</v>
      </c>
      <c r="M12" s="8">
        <v>29.6</v>
      </c>
      <c r="N12" s="8">
        <v>586.9</v>
      </c>
      <c r="O12" s="9">
        <v>0</v>
      </c>
      <c r="P12" s="8">
        <v>183.7</v>
      </c>
      <c r="Q12" s="8">
        <v>-15581.5</v>
      </c>
      <c r="R12" s="8">
        <v>4.6399999999999997</v>
      </c>
      <c r="S12" s="9">
        <v>0</v>
      </c>
      <c r="T12" s="8">
        <v>269.89999999999998</v>
      </c>
      <c r="U12" s="8">
        <v>-473.1</v>
      </c>
      <c r="V12" s="9">
        <v>0</v>
      </c>
      <c r="W12" s="9">
        <v>0</v>
      </c>
      <c r="X12" s="8">
        <v>-2529.4</v>
      </c>
      <c r="Y12" s="9">
        <v>0</v>
      </c>
      <c r="Z12" s="9">
        <v>0</v>
      </c>
      <c r="AA12" s="9">
        <v>0</v>
      </c>
      <c r="AB12" s="9">
        <v>0</v>
      </c>
      <c r="AC12" s="8">
        <v>11.1</v>
      </c>
      <c r="AD12" s="9">
        <v>0</v>
      </c>
      <c r="AE12" s="8">
        <v>443.9</v>
      </c>
      <c r="AF12" s="8">
        <v>-1215.8</v>
      </c>
      <c r="AG12" s="8">
        <v>-825.6</v>
      </c>
      <c r="AH12" s="9">
        <v>0</v>
      </c>
      <c r="AI12" s="8">
        <v>-747.7</v>
      </c>
      <c r="AJ12" s="8">
        <v>-338.5</v>
      </c>
      <c r="AK12" s="8">
        <v>-25.8</v>
      </c>
      <c r="AL12" s="8">
        <v>-334.9</v>
      </c>
      <c r="AM12" s="8">
        <v>-195.5</v>
      </c>
      <c r="AN12" s="8">
        <v>-1206.9000000000001</v>
      </c>
      <c r="AO12" s="8">
        <v>4.76</v>
      </c>
      <c r="AP12" s="8">
        <v>0.372</v>
      </c>
      <c r="AQ12" s="9" t="s">
        <v>195</v>
      </c>
      <c r="AR12" s="8">
        <v>4.99</v>
      </c>
      <c r="AS12" s="8">
        <v>-8.73</v>
      </c>
      <c r="AT12" s="8">
        <v>132</v>
      </c>
      <c r="AU12" s="8">
        <v>148.9</v>
      </c>
      <c r="AV12" s="8">
        <v>2.2599999999999998</v>
      </c>
      <c r="AW12" s="8">
        <v>0.91100000000000003</v>
      </c>
      <c r="AX12" s="8">
        <v>-31.6</v>
      </c>
      <c r="AY12" s="8">
        <v>-6.68</v>
      </c>
      <c r="AZ12" s="8">
        <v>408.9</v>
      </c>
      <c r="BA12" s="8">
        <v>1135.5999999999999</v>
      </c>
      <c r="BB12" s="8">
        <v>0.22600000000000001</v>
      </c>
      <c r="BC12" s="8">
        <v>-934.3</v>
      </c>
      <c r="BD12" s="8">
        <v>0.29299999999999998</v>
      </c>
      <c r="BE12" s="8">
        <v>0.20399999999999999</v>
      </c>
      <c r="BF12" s="9" t="s">
        <v>195</v>
      </c>
      <c r="BG12" s="9" t="s">
        <v>195</v>
      </c>
      <c r="BH12" s="8">
        <v>28600000</v>
      </c>
      <c r="BI12" s="8">
        <v>243.8</v>
      </c>
      <c r="BJ12" s="8">
        <v>662.8</v>
      </c>
      <c r="BK12" s="8">
        <v>5.0000000000000001E-3</v>
      </c>
      <c r="BL12" s="8">
        <v>6.78</v>
      </c>
      <c r="BM12" s="8">
        <v>1.1299999999999999</v>
      </c>
      <c r="BN12" s="8">
        <v>1.9</v>
      </c>
      <c r="BO12" s="8">
        <v>3.11</v>
      </c>
      <c r="BP12" s="8">
        <v>270.2</v>
      </c>
      <c r="BQ12" s="8">
        <v>403.2</v>
      </c>
      <c r="BR12" s="8">
        <v>0.39100000000000001</v>
      </c>
      <c r="BS12" s="8">
        <v>-924.1</v>
      </c>
      <c r="BT12" s="8">
        <v>0.34599999999999997</v>
      </c>
      <c r="BU12" s="8">
        <v>586.9</v>
      </c>
      <c r="BV12" s="8">
        <v>-0.122</v>
      </c>
      <c r="BW12" s="8">
        <v>1236.8</v>
      </c>
      <c r="BX12" s="8">
        <v>6982.8</v>
      </c>
      <c r="BY12" s="8">
        <v>-0.122</v>
      </c>
      <c r="BZ12" s="9" t="s">
        <v>195</v>
      </c>
      <c r="CA12" s="8">
        <v>-24.9</v>
      </c>
      <c r="CB12" s="9" t="s">
        <v>195</v>
      </c>
      <c r="CC12" s="8">
        <v>0.50900000000000001</v>
      </c>
      <c r="CD12" s="8">
        <v>-1.1599999999999999</v>
      </c>
      <c r="CE12" s="8">
        <v>-23.9</v>
      </c>
      <c r="CF12" s="8">
        <v>-947</v>
      </c>
      <c r="CG12" s="8">
        <v>-103.6</v>
      </c>
      <c r="CH12" s="8">
        <v>-1.28</v>
      </c>
      <c r="CI12" s="8">
        <v>148.9</v>
      </c>
      <c r="CJ12" s="9" t="s">
        <v>195</v>
      </c>
      <c r="CK12" s="8">
        <v>0.153</v>
      </c>
      <c r="CL12" s="8">
        <v>-1169.4000000000001</v>
      </c>
      <c r="CM12" s="8">
        <v>-515.70000000000005</v>
      </c>
      <c r="CN12" s="8">
        <v>-1525.2</v>
      </c>
      <c r="CO12" s="8">
        <v>0.251</v>
      </c>
      <c r="CP12" s="8">
        <v>290.39999999999998</v>
      </c>
      <c r="CQ12" s="8">
        <v>0.36799999999999999</v>
      </c>
      <c r="CR12" s="9" t="s">
        <v>195</v>
      </c>
      <c r="CS12" s="8">
        <v>-139.80000000000001</v>
      </c>
      <c r="CT12" s="8">
        <v>7.3999999999999996E-2</v>
      </c>
      <c r="CU12" s="9" t="s">
        <v>195</v>
      </c>
      <c r="CV12" s="8">
        <v>-936.1</v>
      </c>
      <c r="CW12" s="8">
        <v>0.60799999999999998</v>
      </c>
      <c r="CX12" s="8">
        <v>-71.5</v>
      </c>
      <c r="CY12" s="8">
        <v>-1.7999999999999999E-2</v>
      </c>
      <c r="CZ12" s="9" t="s">
        <v>195</v>
      </c>
      <c r="DA12" s="9" t="s">
        <v>195</v>
      </c>
      <c r="DB12" s="9" t="s">
        <v>195</v>
      </c>
      <c r="DC12" s="8">
        <v>-1.7999999999999999E-2</v>
      </c>
      <c r="DD12" s="8">
        <v>-1.7999999999999999E-2</v>
      </c>
      <c r="DE12" s="9" t="s">
        <v>195</v>
      </c>
      <c r="DF12" s="8">
        <v>-0.63100000000000001</v>
      </c>
      <c r="DG12" s="8">
        <v>8.0000000000000002E-3</v>
      </c>
      <c r="DH12" s="8">
        <v>20.399999999999999</v>
      </c>
      <c r="DI12" s="8">
        <v>0.27400000000000002</v>
      </c>
      <c r="DJ12" s="8">
        <v>0.127</v>
      </c>
      <c r="DK12" s="8">
        <v>1.31</v>
      </c>
      <c r="DL12" s="8">
        <v>1.86</v>
      </c>
      <c r="DM12" s="9" t="s">
        <v>195</v>
      </c>
      <c r="DN12" s="9" t="s">
        <v>195</v>
      </c>
      <c r="DO12" s="8">
        <v>3.46</v>
      </c>
      <c r="DP12" s="8">
        <v>3.46</v>
      </c>
      <c r="DQ12" s="9" t="s">
        <v>195</v>
      </c>
      <c r="DR12" s="8">
        <v>1.1000000000000001</v>
      </c>
      <c r="DS12" s="8">
        <v>66.599999999999994</v>
      </c>
      <c r="DT12" s="8">
        <v>25.7</v>
      </c>
      <c r="DU12" s="8">
        <v>2E-3</v>
      </c>
      <c r="DV12" s="8">
        <v>3.0000000000000001E-3</v>
      </c>
      <c r="DW12" s="8">
        <v>0.127</v>
      </c>
      <c r="DX12" s="9" t="s">
        <v>195</v>
      </c>
      <c r="DY12" s="8">
        <v>16.5</v>
      </c>
      <c r="DZ12" s="8">
        <v>51.9</v>
      </c>
      <c r="EA12" s="8">
        <v>5.1100000000000003</v>
      </c>
      <c r="EB12" s="8">
        <v>1.63</v>
      </c>
      <c r="EC12" s="8">
        <v>3.7999999999999999E-2</v>
      </c>
      <c r="ED12" s="8">
        <v>10.1</v>
      </c>
      <c r="EE12" s="8">
        <v>15.1</v>
      </c>
      <c r="EF12" s="8">
        <v>1.93</v>
      </c>
      <c r="EG12" s="8">
        <v>-1779.7</v>
      </c>
      <c r="EH12" s="8">
        <v>7.91</v>
      </c>
      <c r="EI12" s="8">
        <v>148.9</v>
      </c>
      <c r="EJ12" s="8">
        <v>-6882.2</v>
      </c>
      <c r="EK12" s="8">
        <v>0.13</v>
      </c>
      <c r="EL12" s="8">
        <v>254.1</v>
      </c>
      <c r="EM12" s="8">
        <v>-75163</v>
      </c>
      <c r="EN12" s="9" t="s">
        <v>195</v>
      </c>
      <c r="EO12" s="8">
        <v>469</v>
      </c>
      <c r="EP12" s="9">
        <v>0</v>
      </c>
      <c r="EQ12" s="8">
        <v>469</v>
      </c>
      <c r="ER12" s="8">
        <v>1.57</v>
      </c>
      <c r="ES12" s="8">
        <v>1.9E-2</v>
      </c>
      <c r="ET12" s="8">
        <v>5.54</v>
      </c>
      <c r="EU12" s="8">
        <v>1.23</v>
      </c>
      <c r="EV12" s="8">
        <v>1.59</v>
      </c>
      <c r="EW12" s="8">
        <v>-375.9</v>
      </c>
      <c r="EX12" s="8">
        <v>-97.9</v>
      </c>
      <c r="EY12" s="9" t="s">
        <v>195</v>
      </c>
      <c r="EZ12" s="8">
        <v>-375.9</v>
      </c>
      <c r="FA12" s="8">
        <v>1.45</v>
      </c>
      <c r="FB12" s="8">
        <v>-14198.1</v>
      </c>
      <c r="FC12" s="8">
        <v>-1320.3</v>
      </c>
      <c r="FD12" s="9" t="s">
        <v>195</v>
      </c>
      <c r="FE12" s="8">
        <v>131</v>
      </c>
      <c r="FF12" s="8">
        <v>0.29399999999999998</v>
      </c>
      <c r="FG12" s="9" t="s">
        <v>195</v>
      </c>
      <c r="FH12" s="8">
        <v>386.3</v>
      </c>
      <c r="FI12" s="8">
        <v>170</v>
      </c>
      <c r="FJ12" s="8">
        <v>-467.9</v>
      </c>
      <c r="FK12" s="9" t="s">
        <v>195</v>
      </c>
      <c r="FL12" s="9" t="s">
        <v>195</v>
      </c>
      <c r="FM12" s="8">
        <v>1.6</v>
      </c>
      <c r="FN12" s="8">
        <v>-1182.4000000000001</v>
      </c>
      <c r="FO12" s="8">
        <v>2361.3000000000002</v>
      </c>
      <c r="FP12" s="9" t="s">
        <v>195</v>
      </c>
      <c r="FQ12" s="9" t="s">
        <v>195</v>
      </c>
      <c r="FR12" s="9" t="s">
        <v>195</v>
      </c>
      <c r="FS12" s="9">
        <v>0</v>
      </c>
      <c r="FT12" s="9" t="s">
        <v>195</v>
      </c>
      <c r="FU12" s="8">
        <v>-2.44</v>
      </c>
      <c r="FV12" s="9" t="s">
        <v>195</v>
      </c>
      <c r="FW12" s="8">
        <v>-579.1</v>
      </c>
      <c r="FX12" s="9" t="s">
        <v>195</v>
      </c>
      <c r="FY12" s="9" t="s">
        <v>195</v>
      </c>
    </row>
    <row r="13" spans="1:255">
      <c r="A13" s="7" t="s">
        <v>198</v>
      </c>
      <c r="B13" s="8">
        <v>48474</v>
      </c>
      <c r="C13" s="8">
        <v>43831.6</v>
      </c>
      <c r="D13" s="9" t="s">
        <v>195</v>
      </c>
      <c r="E13" s="8">
        <v>53704.5</v>
      </c>
      <c r="F13" s="8">
        <v>9548.7999999999993</v>
      </c>
      <c r="G13" s="8">
        <v>6937.3</v>
      </c>
      <c r="H13" s="8">
        <v>3565.6</v>
      </c>
      <c r="I13" s="8">
        <v>2159.6999999999998</v>
      </c>
      <c r="J13" s="8">
        <v>2131.1</v>
      </c>
      <c r="K13" s="8">
        <v>10251.5</v>
      </c>
      <c r="L13" s="8">
        <v>10251.5</v>
      </c>
      <c r="M13" s="8">
        <v>33353.1</v>
      </c>
      <c r="N13" s="8">
        <v>110186.6</v>
      </c>
      <c r="O13" s="8">
        <v>26331.4</v>
      </c>
      <c r="P13" s="8">
        <v>28253.599999999999</v>
      </c>
      <c r="Q13" s="8">
        <v>7963.2</v>
      </c>
      <c r="R13" s="8">
        <v>5083.8999999999996</v>
      </c>
      <c r="S13" s="8">
        <v>0.52800000000000002</v>
      </c>
      <c r="T13" s="8">
        <v>53704.5</v>
      </c>
      <c r="U13" s="8">
        <v>3942.8</v>
      </c>
      <c r="V13" s="8">
        <v>1046</v>
      </c>
      <c r="W13" s="8">
        <v>4389.6000000000004</v>
      </c>
      <c r="X13" s="8">
        <v>1411</v>
      </c>
      <c r="Y13" s="8">
        <v>44155.7</v>
      </c>
      <c r="Z13" s="9">
        <v>0</v>
      </c>
      <c r="AA13" s="9">
        <v>0</v>
      </c>
      <c r="AB13" s="9">
        <v>0</v>
      </c>
      <c r="AC13" s="8">
        <v>4837.6000000000004</v>
      </c>
      <c r="AD13" s="8">
        <v>4819.1000000000004</v>
      </c>
      <c r="AE13" s="8">
        <v>50827.3</v>
      </c>
      <c r="AF13" s="8">
        <v>3565.6</v>
      </c>
      <c r="AG13" s="9">
        <v>0</v>
      </c>
      <c r="AH13" s="9">
        <v>0</v>
      </c>
      <c r="AI13" s="8">
        <v>720.3</v>
      </c>
      <c r="AJ13" s="8">
        <v>460</v>
      </c>
      <c r="AK13" s="8">
        <v>455.2</v>
      </c>
      <c r="AL13" s="8">
        <v>54</v>
      </c>
      <c r="AM13" s="8">
        <v>417.7</v>
      </c>
      <c r="AN13" s="8">
        <v>4223.3999999999996</v>
      </c>
      <c r="AO13" s="8">
        <v>23.7</v>
      </c>
      <c r="AP13" s="8">
        <v>519.79999999999995</v>
      </c>
      <c r="AQ13" s="9" t="s">
        <v>195</v>
      </c>
      <c r="AR13" s="8">
        <v>26</v>
      </c>
      <c r="AS13" s="8">
        <v>88</v>
      </c>
      <c r="AT13" s="8">
        <v>6673.3</v>
      </c>
      <c r="AU13" s="8">
        <v>12833.2</v>
      </c>
      <c r="AV13" s="8">
        <v>3371.7</v>
      </c>
      <c r="AW13" s="8">
        <v>2687.4</v>
      </c>
      <c r="AX13" s="8">
        <v>1139.7</v>
      </c>
      <c r="AY13" s="8">
        <v>23.7</v>
      </c>
      <c r="AZ13" s="8">
        <v>16017.7</v>
      </c>
      <c r="BA13" s="8">
        <v>36631.800000000003</v>
      </c>
      <c r="BB13" s="8">
        <v>3547.1</v>
      </c>
      <c r="BC13" s="8">
        <v>-1.7000000000000001E-2</v>
      </c>
      <c r="BD13" s="8">
        <v>197.1</v>
      </c>
      <c r="BE13" s="8">
        <v>1.65</v>
      </c>
      <c r="BF13" s="9" t="s">
        <v>195</v>
      </c>
      <c r="BG13" s="9" t="s">
        <v>195</v>
      </c>
      <c r="BH13" s="8">
        <v>49000000</v>
      </c>
      <c r="BI13" s="8">
        <v>243.8</v>
      </c>
      <c r="BJ13" s="8">
        <v>5039.7</v>
      </c>
      <c r="BK13" s="8">
        <v>6351.5</v>
      </c>
      <c r="BL13" s="8">
        <v>326.89999999999998</v>
      </c>
      <c r="BM13" s="8">
        <v>54.3</v>
      </c>
      <c r="BN13" s="8">
        <v>3215.8</v>
      </c>
      <c r="BO13" s="8">
        <v>2131.1</v>
      </c>
      <c r="BP13" s="8">
        <v>86733.3</v>
      </c>
      <c r="BQ13" s="8">
        <v>101133.2</v>
      </c>
      <c r="BR13" s="8">
        <v>1.47</v>
      </c>
      <c r="BS13" s="8">
        <v>-1.2999999999999999E-2</v>
      </c>
      <c r="BT13" s="8">
        <v>14672.2</v>
      </c>
      <c r="BU13" s="8">
        <v>110186.6</v>
      </c>
      <c r="BV13" s="8">
        <v>-0.122</v>
      </c>
      <c r="BW13" s="8">
        <v>4325.7</v>
      </c>
      <c r="BX13" s="8">
        <v>6982.8</v>
      </c>
      <c r="BY13" s="8">
        <v>-0.122</v>
      </c>
      <c r="BZ13" s="9" t="s">
        <v>195</v>
      </c>
      <c r="CA13" s="8">
        <v>40.5</v>
      </c>
      <c r="CB13" s="9" t="s">
        <v>195</v>
      </c>
      <c r="CC13" s="8">
        <v>10.199999999999999</v>
      </c>
      <c r="CD13" s="8">
        <v>4.63</v>
      </c>
      <c r="CE13" s="8">
        <v>-2E-3</v>
      </c>
      <c r="CF13" s="8">
        <v>2159.6999999999998</v>
      </c>
      <c r="CG13" s="8">
        <v>67.7</v>
      </c>
      <c r="CH13" s="8">
        <v>2.35</v>
      </c>
      <c r="CI13" s="8">
        <v>12833.2</v>
      </c>
      <c r="CJ13" s="9" t="s">
        <v>195</v>
      </c>
      <c r="CK13" s="8">
        <v>574.70000000000005</v>
      </c>
      <c r="CL13" s="8">
        <v>3638</v>
      </c>
      <c r="CM13" s="8">
        <v>6951.7</v>
      </c>
      <c r="CN13" s="8">
        <v>2361</v>
      </c>
      <c r="CO13" s="8">
        <v>191.3</v>
      </c>
      <c r="CP13" s="8">
        <v>54043.4</v>
      </c>
      <c r="CQ13" s="8">
        <v>693.4</v>
      </c>
      <c r="CR13" s="9" t="s">
        <v>195</v>
      </c>
      <c r="CS13" s="8">
        <v>693.4</v>
      </c>
      <c r="CT13" s="8">
        <v>532</v>
      </c>
      <c r="CU13" s="9" t="s">
        <v>195</v>
      </c>
      <c r="CV13" s="8">
        <v>2148.8000000000002</v>
      </c>
      <c r="CW13" s="8">
        <v>118.1</v>
      </c>
      <c r="CX13" s="8">
        <v>91.5</v>
      </c>
      <c r="CY13" s="8">
        <v>17.100000000000001</v>
      </c>
      <c r="CZ13" s="9" t="s">
        <v>195</v>
      </c>
      <c r="DA13" s="9" t="s">
        <v>195</v>
      </c>
      <c r="DB13" s="9" t="s">
        <v>195</v>
      </c>
      <c r="DC13" s="8">
        <v>22</v>
      </c>
      <c r="DD13" s="8">
        <v>17.100000000000001</v>
      </c>
      <c r="DE13" s="9" t="s">
        <v>195</v>
      </c>
      <c r="DF13" s="8">
        <v>-0.63100000000000001</v>
      </c>
      <c r="DG13" s="8">
        <v>2513.6</v>
      </c>
      <c r="DH13" s="8">
        <v>3735.6</v>
      </c>
      <c r="DI13" s="8">
        <v>2028.4</v>
      </c>
      <c r="DJ13" s="8">
        <v>3020.5</v>
      </c>
      <c r="DK13" s="8">
        <v>4037.2</v>
      </c>
      <c r="DL13" s="8">
        <v>235.2</v>
      </c>
      <c r="DM13" s="9" t="s">
        <v>195</v>
      </c>
      <c r="DN13" s="9" t="s">
        <v>195</v>
      </c>
      <c r="DO13" s="8">
        <v>3197.9</v>
      </c>
      <c r="DP13" s="8">
        <v>5766.2</v>
      </c>
      <c r="DQ13" s="9" t="s">
        <v>195</v>
      </c>
      <c r="DR13" s="8">
        <v>4762.3999999999996</v>
      </c>
      <c r="DS13" s="8">
        <v>57204.6</v>
      </c>
      <c r="DT13" s="8">
        <v>23851.5</v>
      </c>
      <c r="DU13" s="8">
        <v>24915.4</v>
      </c>
      <c r="DV13" s="8">
        <v>6463.7</v>
      </c>
      <c r="DW13" s="8">
        <v>10321.200000000001</v>
      </c>
      <c r="DX13" s="9" t="s">
        <v>195</v>
      </c>
      <c r="DY13" s="8">
        <v>75866.600000000006</v>
      </c>
      <c r="DZ13" s="8">
        <v>86063</v>
      </c>
      <c r="EA13" s="8">
        <v>2801.7</v>
      </c>
      <c r="EB13" s="8">
        <v>15766.7</v>
      </c>
      <c r="EC13" s="8">
        <v>801.6</v>
      </c>
      <c r="ED13" s="8">
        <v>1244.0999999999999</v>
      </c>
      <c r="EE13" s="8">
        <v>4032.6</v>
      </c>
      <c r="EF13" s="8">
        <v>3956.3</v>
      </c>
      <c r="EG13" s="8">
        <v>25499.4</v>
      </c>
      <c r="EH13" s="8">
        <v>7.91</v>
      </c>
      <c r="EI13" s="8">
        <v>12833.2</v>
      </c>
      <c r="EJ13" s="8">
        <v>22877.3</v>
      </c>
      <c r="EK13" s="8">
        <v>16784.900000000001</v>
      </c>
      <c r="EL13" s="8">
        <v>36710.300000000003</v>
      </c>
      <c r="EM13" s="8">
        <v>6462.9</v>
      </c>
      <c r="EN13" s="9" t="s">
        <v>195</v>
      </c>
      <c r="EO13" s="8">
        <v>322404</v>
      </c>
      <c r="EP13" s="8">
        <v>3073.1</v>
      </c>
      <c r="EQ13" s="8">
        <v>322404</v>
      </c>
      <c r="ER13" s="8">
        <v>969.9</v>
      </c>
      <c r="ES13" s="8">
        <v>12271.8</v>
      </c>
      <c r="ET13" s="8">
        <v>7867.1</v>
      </c>
      <c r="EU13" s="8">
        <v>31.7</v>
      </c>
      <c r="EV13" s="8">
        <v>3371.7</v>
      </c>
      <c r="EW13" s="8">
        <v>2574.6</v>
      </c>
      <c r="EX13" s="8">
        <v>87.9</v>
      </c>
      <c r="EY13" s="9" t="s">
        <v>195</v>
      </c>
      <c r="EZ13" s="8">
        <v>2177.1</v>
      </c>
      <c r="FA13" s="8">
        <v>15040</v>
      </c>
      <c r="FB13" s="8">
        <v>-0.71599999999999997</v>
      </c>
      <c r="FC13" s="8">
        <v>3404.9</v>
      </c>
      <c r="FD13" s="9" t="s">
        <v>195</v>
      </c>
      <c r="FE13" s="8">
        <v>5243.6</v>
      </c>
      <c r="FF13" s="8">
        <v>0.29399999999999998</v>
      </c>
      <c r="FG13" s="9" t="s">
        <v>195</v>
      </c>
      <c r="FH13" s="8">
        <v>15656.4</v>
      </c>
      <c r="FI13" s="8">
        <v>5243.6</v>
      </c>
      <c r="FJ13" s="8">
        <v>-467.9</v>
      </c>
      <c r="FK13" s="9" t="s">
        <v>195</v>
      </c>
      <c r="FL13" s="9" t="s">
        <v>195</v>
      </c>
      <c r="FM13" s="8">
        <v>2893</v>
      </c>
      <c r="FN13" s="8">
        <v>2879.3</v>
      </c>
      <c r="FO13" s="8">
        <v>53704.5</v>
      </c>
      <c r="FP13" s="9" t="s">
        <v>195</v>
      </c>
      <c r="FQ13" s="9" t="s">
        <v>195</v>
      </c>
      <c r="FR13" s="9" t="s">
        <v>195</v>
      </c>
      <c r="FS13" s="8">
        <v>0.64800000000000002</v>
      </c>
      <c r="FT13" s="9" t="s">
        <v>195</v>
      </c>
      <c r="FU13" s="8">
        <v>30.4</v>
      </c>
      <c r="FV13" s="9" t="s">
        <v>195</v>
      </c>
      <c r="FW13" s="8">
        <v>2870</v>
      </c>
      <c r="FX13" s="9" t="s">
        <v>195</v>
      </c>
      <c r="FY13" s="9" t="s">
        <v>195</v>
      </c>
    </row>
    <row r="14" spans="1:255">
      <c r="A14" s="7" t="s">
        <v>199</v>
      </c>
      <c r="B14" s="8">
        <v>13200.9</v>
      </c>
      <c r="C14" s="8">
        <v>13421.1</v>
      </c>
      <c r="D14" s="9" t="s">
        <v>195</v>
      </c>
      <c r="E14" s="8">
        <v>9073.4</v>
      </c>
      <c r="F14" s="8">
        <v>2382.4</v>
      </c>
      <c r="G14" s="8">
        <v>1468.7</v>
      </c>
      <c r="H14" s="8">
        <v>958.5</v>
      </c>
      <c r="I14" s="8">
        <v>778.2</v>
      </c>
      <c r="J14" s="8">
        <v>768.2</v>
      </c>
      <c r="K14" s="8">
        <v>2153.9</v>
      </c>
      <c r="L14" s="8">
        <v>2212.4</v>
      </c>
      <c r="M14" s="8">
        <v>7217.3</v>
      </c>
      <c r="N14" s="8">
        <v>28225.200000000001</v>
      </c>
      <c r="O14" s="8">
        <v>5770</v>
      </c>
      <c r="P14" s="8">
        <v>4828.7</v>
      </c>
      <c r="Q14" s="8">
        <v>3927.1</v>
      </c>
      <c r="R14" s="8">
        <v>1257.4000000000001</v>
      </c>
      <c r="S14" s="8">
        <v>0.106</v>
      </c>
      <c r="T14" s="8">
        <v>9142.1</v>
      </c>
      <c r="U14" s="8">
        <v>705.7</v>
      </c>
      <c r="V14" s="8">
        <v>168.1</v>
      </c>
      <c r="W14" s="8">
        <v>833.3</v>
      </c>
      <c r="X14" s="8">
        <v>577.4</v>
      </c>
      <c r="Y14" s="8">
        <v>7588.6</v>
      </c>
      <c r="Z14" s="9">
        <v>0</v>
      </c>
      <c r="AA14" s="9">
        <v>0</v>
      </c>
      <c r="AB14" s="9">
        <v>0</v>
      </c>
      <c r="AC14" s="8">
        <v>815.6</v>
      </c>
      <c r="AD14" s="8">
        <v>816.9</v>
      </c>
      <c r="AE14" s="8">
        <v>8496.2000000000007</v>
      </c>
      <c r="AF14" s="8">
        <v>1088.8</v>
      </c>
      <c r="AG14" s="8">
        <v>246.4</v>
      </c>
      <c r="AH14" s="9">
        <v>0</v>
      </c>
      <c r="AI14" s="8">
        <v>280.3</v>
      </c>
      <c r="AJ14" s="8">
        <v>146.80000000000001</v>
      </c>
      <c r="AK14" s="8">
        <v>70</v>
      </c>
      <c r="AL14" s="8">
        <v>69.5</v>
      </c>
      <c r="AM14" s="8">
        <v>103.9</v>
      </c>
      <c r="AN14" s="8">
        <v>1142</v>
      </c>
      <c r="AO14" s="8">
        <v>8.01</v>
      </c>
      <c r="AP14" s="8">
        <v>79</v>
      </c>
      <c r="AQ14" s="9" t="s">
        <v>195</v>
      </c>
      <c r="AR14" s="8">
        <v>5.05</v>
      </c>
      <c r="AS14" s="8">
        <v>17.600000000000001</v>
      </c>
      <c r="AT14" s="8">
        <v>1612</v>
      </c>
      <c r="AU14" s="8">
        <v>2683.9</v>
      </c>
      <c r="AV14" s="8">
        <v>735.3</v>
      </c>
      <c r="AW14" s="8">
        <v>575.1</v>
      </c>
      <c r="AX14" s="8">
        <v>332.7</v>
      </c>
      <c r="AY14" s="8">
        <v>5.53</v>
      </c>
      <c r="AZ14" s="8">
        <v>3794.7</v>
      </c>
      <c r="BA14" s="8">
        <v>12547.9</v>
      </c>
      <c r="BB14" s="8">
        <v>693.2</v>
      </c>
      <c r="BC14" s="8">
        <v>234</v>
      </c>
      <c r="BD14" s="8">
        <v>76.099999999999994</v>
      </c>
      <c r="BE14" s="8">
        <v>0.5</v>
      </c>
      <c r="BF14" s="9" t="s">
        <v>195</v>
      </c>
      <c r="BG14" s="9" t="s">
        <v>195</v>
      </c>
      <c r="BH14" s="8">
        <v>10421292.300000001</v>
      </c>
      <c r="BI14" s="9" t="s">
        <v>195</v>
      </c>
      <c r="BJ14" s="8">
        <v>2206.8000000000002</v>
      </c>
      <c r="BK14" s="8">
        <v>1170.7</v>
      </c>
      <c r="BL14" s="8">
        <v>167.8</v>
      </c>
      <c r="BM14" s="8">
        <v>26</v>
      </c>
      <c r="BN14" s="8">
        <v>672.9</v>
      </c>
      <c r="BO14" s="8">
        <v>429.4</v>
      </c>
      <c r="BP14" s="8">
        <v>23460.799999999999</v>
      </c>
      <c r="BQ14" s="8">
        <v>26309</v>
      </c>
      <c r="BR14" s="8">
        <v>0.45100000000000001</v>
      </c>
      <c r="BS14" s="8">
        <v>258</v>
      </c>
      <c r="BT14" s="8">
        <v>3029.1</v>
      </c>
      <c r="BU14" s="8">
        <v>28225.200000000001</v>
      </c>
      <c r="BV14" s="9" t="s">
        <v>195</v>
      </c>
      <c r="BW14" s="8">
        <v>1583.4</v>
      </c>
      <c r="BX14" s="9" t="s">
        <v>195</v>
      </c>
      <c r="BY14" s="9" t="s">
        <v>195</v>
      </c>
      <c r="BZ14" s="9" t="s">
        <v>195</v>
      </c>
      <c r="CA14" s="8">
        <v>16.2</v>
      </c>
      <c r="CB14" s="9" t="s">
        <v>195</v>
      </c>
      <c r="CC14" s="8">
        <v>5.56</v>
      </c>
      <c r="CD14" s="8">
        <v>4.0999999999999996</v>
      </c>
      <c r="CE14" s="8">
        <v>13.3</v>
      </c>
      <c r="CF14" s="8">
        <v>778.5</v>
      </c>
      <c r="CG14" s="8">
        <v>35.799999999999997</v>
      </c>
      <c r="CH14" s="8">
        <v>0.55400000000000005</v>
      </c>
      <c r="CI14" s="8">
        <v>2682.3</v>
      </c>
      <c r="CJ14" s="9" t="s">
        <v>195</v>
      </c>
      <c r="CK14" s="8">
        <v>113.2</v>
      </c>
      <c r="CL14" s="8">
        <v>1068.4000000000001</v>
      </c>
      <c r="CM14" s="8">
        <v>1687.5</v>
      </c>
      <c r="CN14" s="8">
        <v>900.8</v>
      </c>
      <c r="CO14" s="8">
        <v>29.8</v>
      </c>
      <c r="CP14" s="8">
        <v>10443.9</v>
      </c>
      <c r="CQ14" s="8">
        <v>175.2</v>
      </c>
      <c r="CR14" s="9" t="s">
        <v>195</v>
      </c>
      <c r="CS14" s="8">
        <v>168</v>
      </c>
      <c r="CT14" s="8">
        <v>135.69999999999999</v>
      </c>
      <c r="CU14" s="9" t="s">
        <v>195</v>
      </c>
      <c r="CV14" s="8">
        <v>768.6</v>
      </c>
      <c r="CW14" s="8">
        <v>27.2</v>
      </c>
      <c r="CX14" s="8">
        <v>30.8</v>
      </c>
      <c r="CY14" s="8">
        <v>6.52</v>
      </c>
      <c r="CZ14" s="9" t="s">
        <v>195</v>
      </c>
      <c r="DA14" s="9" t="s">
        <v>195</v>
      </c>
      <c r="DB14" s="9" t="s">
        <v>195</v>
      </c>
      <c r="DC14" s="8">
        <v>7.88</v>
      </c>
      <c r="DD14" s="8">
        <v>7.98</v>
      </c>
      <c r="DE14" s="9" t="s">
        <v>195</v>
      </c>
      <c r="DF14" s="9" t="s">
        <v>195</v>
      </c>
      <c r="DG14" s="8">
        <v>595.79999999999995</v>
      </c>
      <c r="DH14" s="8">
        <v>829.1</v>
      </c>
      <c r="DI14" s="8">
        <v>397.1</v>
      </c>
      <c r="DJ14" s="8">
        <v>571.9</v>
      </c>
      <c r="DK14" s="8">
        <v>1098.5</v>
      </c>
      <c r="DL14" s="8">
        <v>55.1</v>
      </c>
      <c r="DM14" s="9" t="s">
        <v>195</v>
      </c>
      <c r="DN14" s="9" t="s">
        <v>195</v>
      </c>
      <c r="DO14" s="8">
        <v>668.7</v>
      </c>
      <c r="DP14" s="8">
        <v>1463.7</v>
      </c>
      <c r="DQ14" s="9" t="s">
        <v>195</v>
      </c>
      <c r="DR14" s="8">
        <v>1530.9</v>
      </c>
      <c r="DS14" s="8">
        <v>11267.5</v>
      </c>
      <c r="DT14" s="8">
        <v>4728.5</v>
      </c>
      <c r="DU14" s="8">
        <v>7039.4</v>
      </c>
      <c r="DV14" s="8">
        <v>1351.8</v>
      </c>
      <c r="DW14" s="8">
        <v>1988.9</v>
      </c>
      <c r="DX14" s="9" t="s">
        <v>195</v>
      </c>
      <c r="DY14" s="8">
        <v>19831.599999999999</v>
      </c>
      <c r="DZ14" s="8">
        <v>23460.5</v>
      </c>
      <c r="EA14" s="8">
        <v>544.29999999999995</v>
      </c>
      <c r="EB14" s="8">
        <v>4750.7</v>
      </c>
      <c r="EC14" s="8">
        <v>274.3</v>
      </c>
      <c r="ED14" s="8">
        <v>274.5</v>
      </c>
      <c r="EE14" s="8">
        <v>865</v>
      </c>
      <c r="EF14" s="8">
        <v>844.6</v>
      </c>
      <c r="EG14" s="8">
        <v>4510.8999999999996</v>
      </c>
      <c r="EH14" s="9" t="s">
        <v>195</v>
      </c>
      <c r="EI14" s="8">
        <v>2683.8</v>
      </c>
      <c r="EJ14" s="8">
        <v>4542.2</v>
      </c>
      <c r="EK14" s="8">
        <v>2884.8</v>
      </c>
      <c r="EL14" s="8">
        <v>8776.7000000000007</v>
      </c>
      <c r="EM14" s="8">
        <v>24483.4</v>
      </c>
      <c r="EN14" s="9" t="s">
        <v>195</v>
      </c>
      <c r="EO14" s="8">
        <v>79825.899999999994</v>
      </c>
      <c r="EP14" s="8">
        <v>617.70000000000005</v>
      </c>
      <c r="EQ14" s="8">
        <v>79826.100000000006</v>
      </c>
      <c r="ER14" s="8">
        <v>263.8</v>
      </c>
      <c r="ES14" s="8">
        <v>2161</v>
      </c>
      <c r="ET14" s="8">
        <v>1502</v>
      </c>
      <c r="EU14" s="8">
        <v>5.5</v>
      </c>
      <c r="EV14" s="8">
        <v>719.7</v>
      </c>
      <c r="EW14" s="8">
        <v>593.6</v>
      </c>
      <c r="EX14" s="8">
        <v>35.200000000000003</v>
      </c>
      <c r="EY14" s="9" t="s">
        <v>195</v>
      </c>
      <c r="EZ14" s="8">
        <v>447.9</v>
      </c>
      <c r="FA14" s="8">
        <v>2741.4</v>
      </c>
      <c r="FB14" s="8">
        <v>2808.6</v>
      </c>
      <c r="FC14" s="8">
        <v>810.9</v>
      </c>
      <c r="FD14" s="9" t="s">
        <v>195</v>
      </c>
      <c r="FE14" s="8">
        <v>2123.4</v>
      </c>
      <c r="FF14" s="9" t="s">
        <v>195</v>
      </c>
      <c r="FG14" s="9" t="s">
        <v>195</v>
      </c>
      <c r="FH14" s="8">
        <v>5926.2</v>
      </c>
      <c r="FI14" s="8">
        <v>2116.1999999999998</v>
      </c>
      <c r="FJ14" s="9" t="s">
        <v>195</v>
      </c>
      <c r="FK14" s="9" t="s">
        <v>195</v>
      </c>
      <c r="FL14" s="9" t="s">
        <v>195</v>
      </c>
      <c r="FM14" s="8">
        <v>662.8</v>
      </c>
      <c r="FN14" s="8">
        <v>792.3</v>
      </c>
      <c r="FO14" s="8">
        <v>8754.2000000000007</v>
      </c>
      <c r="FP14" s="9" t="s">
        <v>195</v>
      </c>
      <c r="FQ14" s="9" t="s">
        <v>195</v>
      </c>
      <c r="FR14" s="9" t="s">
        <v>195</v>
      </c>
      <c r="FS14" s="8">
        <v>0.152</v>
      </c>
      <c r="FT14" s="9" t="s">
        <v>195</v>
      </c>
      <c r="FU14" s="8">
        <v>7.23</v>
      </c>
      <c r="FV14" s="9" t="s">
        <v>195</v>
      </c>
      <c r="FW14" s="8">
        <v>753.8</v>
      </c>
      <c r="FX14" s="9" t="s">
        <v>195</v>
      </c>
      <c r="FY14" s="9" t="s">
        <v>195</v>
      </c>
    </row>
    <row r="15" spans="1:255">
      <c r="A15" s="7" t="s">
        <v>200</v>
      </c>
      <c r="B15" s="9" t="s">
        <v>195</v>
      </c>
      <c r="C15" s="8">
        <v>27317.5</v>
      </c>
      <c r="D15" s="9" t="s">
        <v>195</v>
      </c>
      <c r="E15" s="8">
        <v>11256.4</v>
      </c>
      <c r="F15" s="8">
        <v>4556</v>
      </c>
      <c r="G15" s="8">
        <v>2064.1999999999998</v>
      </c>
      <c r="H15" s="8">
        <v>1330.6</v>
      </c>
      <c r="I15" s="8">
        <v>1222.5</v>
      </c>
      <c r="J15" s="8">
        <v>1203.3</v>
      </c>
      <c r="K15" s="8">
        <v>1704.8</v>
      </c>
      <c r="L15" s="8">
        <v>2338.1</v>
      </c>
      <c r="M15" s="8">
        <v>7276.4</v>
      </c>
      <c r="N15" s="8">
        <v>34301.9</v>
      </c>
      <c r="O15" s="8">
        <v>7189.2</v>
      </c>
      <c r="P15" s="8">
        <v>8195.4</v>
      </c>
      <c r="Q15" s="8">
        <v>-190.7</v>
      </c>
      <c r="R15" s="8">
        <v>1405.6</v>
      </c>
      <c r="S15" s="8">
        <v>0.11700000000000001</v>
      </c>
      <c r="T15" s="8">
        <v>10634.6</v>
      </c>
      <c r="U15" s="8">
        <v>621.79999999999995</v>
      </c>
      <c r="V15" s="8">
        <v>15.1</v>
      </c>
      <c r="W15" s="8">
        <v>543.9</v>
      </c>
      <c r="X15" s="8">
        <v>62.8</v>
      </c>
      <c r="Y15" s="8">
        <v>6700.4</v>
      </c>
      <c r="Z15" s="9">
        <v>0</v>
      </c>
      <c r="AA15" s="9">
        <v>0</v>
      </c>
      <c r="AB15" s="9">
        <v>0</v>
      </c>
      <c r="AC15" s="8">
        <v>1065</v>
      </c>
      <c r="AD15" s="8">
        <v>1037</v>
      </c>
      <c r="AE15" s="8">
        <v>9443.7999999999993</v>
      </c>
      <c r="AF15" s="8">
        <v>1812.6</v>
      </c>
      <c r="AG15" s="8">
        <v>-163.30000000000001</v>
      </c>
      <c r="AH15" s="9">
        <v>0</v>
      </c>
      <c r="AI15" s="8">
        <v>-29.8</v>
      </c>
      <c r="AJ15" s="8">
        <v>59.7</v>
      </c>
      <c r="AK15" s="8">
        <v>41.8</v>
      </c>
      <c r="AL15" s="8">
        <v>-37.1</v>
      </c>
      <c r="AM15" s="8">
        <v>54.9</v>
      </c>
      <c r="AN15" s="8">
        <v>1842.5</v>
      </c>
      <c r="AO15" s="8">
        <v>14.3</v>
      </c>
      <c r="AP15" s="8">
        <v>18.7</v>
      </c>
      <c r="AQ15" s="9" t="s">
        <v>195</v>
      </c>
      <c r="AR15" s="8">
        <v>11.4</v>
      </c>
      <c r="AS15" s="8">
        <v>24.2</v>
      </c>
      <c r="AT15" s="8">
        <v>2825.4</v>
      </c>
      <c r="AU15" s="8">
        <v>4348.7</v>
      </c>
      <c r="AV15" s="8">
        <v>885.8</v>
      </c>
      <c r="AW15" s="8">
        <v>635.1</v>
      </c>
      <c r="AX15" s="8">
        <v>552.1</v>
      </c>
      <c r="AY15" s="8">
        <v>7.65</v>
      </c>
      <c r="AZ15" s="8">
        <v>5688</v>
      </c>
      <c r="BA15" s="8">
        <v>24363.7</v>
      </c>
      <c r="BB15" s="8">
        <v>288.3</v>
      </c>
      <c r="BC15" s="8">
        <v>-209.7</v>
      </c>
      <c r="BD15" s="8">
        <v>23.5</v>
      </c>
      <c r="BE15" s="8">
        <v>0.71699999999999997</v>
      </c>
      <c r="BF15" s="9" t="s">
        <v>195</v>
      </c>
      <c r="BG15" s="9" t="s">
        <v>195</v>
      </c>
      <c r="BH15" s="8">
        <v>41128042.700000003</v>
      </c>
      <c r="BI15" s="8">
        <v>243.8</v>
      </c>
      <c r="BJ15" s="8">
        <v>899.1</v>
      </c>
      <c r="BK15" s="8">
        <v>1288.3</v>
      </c>
      <c r="BL15" s="8">
        <v>250.1</v>
      </c>
      <c r="BM15" s="8">
        <v>12.3</v>
      </c>
      <c r="BN15" s="8">
        <v>689.8</v>
      </c>
      <c r="BO15" s="8">
        <v>552.5</v>
      </c>
      <c r="BP15" s="8">
        <v>17501.5</v>
      </c>
      <c r="BQ15" s="8">
        <v>26106.5</v>
      </c>
      <c r="BR15" s="8">
        <v>0.77</v>
      </c>
      <c r="BS15" s="8">
        <v>-145.30000000000001</v>
      </c>
      <c r="BT15" s="8">
        <v>2387.3000000000002</v>
      </c>
      <c r="BU15" s="8">
        <v>34301.9</v>
      </c>
      <c r="BV15" s="8">
        <v>-0.122</v>
      </c>
      <c r="BW15" s="8">
        <v>3385.9</v>
      </c>
      <c r="BX15" s="9" t="s">
        <v>195</v>
      </c>
      <c r="BY15" s="8">
        <v>-0.122</v>
      </c>
      <c r="BZ15" s="9" t="s">
        <v>195</v>
      </c>
      <c r="CA15" s="8">
        <v>10.7</v>
      </c>
      <c r="CB15" s="9" t="s">
        <v>195</v>
      </c>
      <c r="CC15" s="8">
        <v>9.1999999999999993</v>
      </c>
      <c r="CD15" s="8">
        <v>0.40200000000000002</v>
      </c>
      <c r="CE15" s="8">
        <v>-3.92</v>
      </c>
      <c r="CF15" s="8">
        <v>1222.2</v>
      </c>
      <c r="CG15" s="8">
        <v>-22.1</v>
      </c>
      <c r="CH15" s="8">
        <v>0.504</v>
      </c>
      <c r="CI15" s="8">
        <v>4353.5</v>
      </c>
      <c r="CJ15" s="9" t="s">
        <v>195</v>
      </c>
      <c r="CK15" s="8">
        <v>41.7</v>
      </c>
      <c r="CL15" s="8">
        <v>1829.6</v>
      </c>
      <c r="CM15" s="8">
        <v>2744.5</v>
      </c>
      <c r="CN15" s="8">
        <v>1147</v>
      </c>
      <c r="CO15" s="8">
        <v>33.799999999999997</v>
      </c>
      <c r="CP15" s="8">
        <v>13620</v>
      </c>
      <c r="CQ15" s="8">
        <v>166.5</v>
      </c>
      <c r="CR15" s="9" t="s">
        <v>195</v>
      </c>
      <c r="CS15" s="8">
        <v>142.30000000000001</v>
      </c>
      <c r="CT15" s="8">
        <v>200.2</v>
      </c>
      <c r="CU15" s="9" t="s">
        <v>195</v>
      </c>
      <c r="CV15" s="8">
        <v>1204</v>
      </c>
      <c r="CW15" s="8">
        <v>33.200000000000003</v>
      </c>
      <c r="CX15" s="8">
        <v>8.92</v>
      </c>
      <c r="CY15" s="8">
        <v>5.53</v>
      </c>
      <c r="CZ15" s="9" t="s">
        <v>195</v>
      </c>
      <c r="DA15" s="9" t="s">
        <v>195</v>
      </c>
      <c r="DB15" s="9" t="s">
        <v>195</v>
      </c>
      <c r="DC15" s="8">
        <v>8.6</v>
      </c>
      <c r="DD15" s="8">
        <v>6.19</v>
      </c>
      <c r="DE15" s="9" t="s">
        <v>195</v>
      </c>
      <c r="DF15" s="8">
        <v>-0.63100000000000001</v>
      </c>
      <c r="DG15" s="8">
        <v>695.8</v>
      </c>
      <c r="DH15" s="8">
        <v>1011.4</v>
      </c>
      <c r="DI15" s="8">
        <v>298.7</v>
      </c>
      <c r="DJ15" s="8">
        <v>151.30000000000001</v>
      </c>
      <c r="DK15" s="8">
        <v>1291.5</v>
      </c>
      <c r="DL15" s="8">
        <v>45</v>
      </c>
      <c r="DM15" s="9" t="s">
        <v>195</v>
      </c>
      <c r="DN15" s="9" t="s">
        <v>195</v>
      </c>
      <c r="DO15" s="8">
        <v>740.6</v>
      </c>
      <c r="DP15" s="8">
        <v>1293.0999999999999</v>
      </c>
      <c r="DQ15" s="9" t="s">
        <v>195</v>
      </c>
      <c r="DR15" s="8">
        <v>1854.6</v>
      </c>
      <c r="DS15" s="8">
        <v>11815.9</v>
      </c>
      <c r="DT15" s="8">
        <v>4434.8999999999996</v>
      </c>
      <c r="DU15" s="8">
        <v>5051.5</v>
      </c>
      <c r="DV15" s="8">
        <v>728.7</v>
      </c>
      <c r="DW15" s="8">
        <v>938.8</v>
      </c>
      <c r="DX15" s="9" t="s">
        <v>195</v>
      </c>
      <c r="DY15" s="8">
        <v>14996.5</v>
      </c>
      <c r="DZ15" s="8">
        <v>13557.9</v>
      </c>
      <c r="EA15" s="8">
        <v>645.9</v>
      </c>
      <c r="EB15" s="8">
        <v>6002</v>
      </c>
      <c r="EC15" s="8">
        <v>256.89999999999998</v>
      </c>
      <c r="ED15" s="8">
        <v>280.60000000000002</v>
      </c>
      <c r="EE15" s="8">
        <v>1224.8</v>
      </c>
      <c r="EF15" s="8">
        <v>1011.5</v>
      </c>
      <c r="EG15" s="8">
        <v>6644.5</v>
      </c>
      <c r="EH15" s="8">
        <v>7.91</v>
      </c>
      <c r="EI15" s="8">
        <v>4348.7</v>
      </c>
      <c r="EJ15" s="8">
        <v>6756.4</v>
      </c>
      <c r="EK15" s="8">
        <v>1361.2</v>
      </c>
      <c r="EL15" s="8">
        <v>12975.2</v>
      </c>
      <c r="EM15" s="8">
        <v>-21566.1</v>
      </c>
      <c r="EN15" s="9" t="s">
        <v>195</v>
      </c>
      <c r="EO15" s="8">
        <v>66711.5</v>
      </c>
      <c r="EP15" s="8">
        <v>352.1</v>
      </c>
      <c r="EQ15" s="8">
        <v>66711.5</v>
      </c>
      <c r="ER15" s="8">
        <v>148.69999999999999</v>
      </c>
      <c r="ES15" s="8">
        <v>1778.6</v>
      </c>
      <c r="ET15" s="8">
        <v>843.2</v>
      </c>
      <c r="EU15" s="8">
        <v>8.85</v>
      </c>
      <c r="EV15" s="8">
        <v>745.9</v>
      </c>
      <c r="EW15" s="8">
        <v>365</v>
      </c>
      <c r="EX15" s="8">
        <v>-19.5</v>
      </c>
      <c r="EY15" s="9" t="s">
        <v>195</v>
      </c>
      <c r="EZ15" s="8">
        <v>276.2</v>
      </c>
      <c r="FA15" s="8">
        <v>1646.3</v>
      </c>
      <c r="FB15" s="8">
        <v>-1235.0999999999999</v>
      </c>
      <c r="FC15" s="8">
        <v>123.2</v>
      </c>
      <c r="FD15" s="9" t="s">
        <v>195</v>
      </c>
      <c r="FE15" s="8">
        <v>3127.3</v>
      </c>
      <c r="FF15" s="8">
        <v>0.29399999999999998</v>
      </c>
      <c r="FG15" s="9" t="s">
        <v>195</v>
      </c>
      <c r="FH15" s="8">
        <v>11030.9</v>
      </c>
      <c r="FI15" s="8">
        <v>3201.6</v>
      </c>
      <c r="FJ15" s="9" t="s">
        <v>195</v>
      </c>
      <c r="FK15" s="9" t="s">
        <v>195</v>
      </c>
      <c r="FL15" s="9" t="s">
        <v>195</v>
      </c>
      <c r="FM15" s="8">
        <v>810.7</v>
      </c>
      <c r="FN15" s="8">
        <v>986.3</v>
      </c>
      <c r="FO15" s="8">
        <v>12329</v>
      </c>
      <c r="FP15" s="9" t="s">
        <v>195</v>
      </c>
      <c r="FQ15" s="9" t="s">
        <v>195</v>
      </c>
      <c r="FR15" s="9" t="s">
        <v>195</v>
      </c>
      <c r="FS15" s="8">
        <v>0.17100000000000001</v>
      </c>
      <c r="FT15" s="9" t="s">
        <v>195</v>
      </c>
      <c r="FU15" s="8">
        <v>8.89</v>
      </c>
      <c r="FV15" s="9" t="s">
        <v>195</v>
      </c>
      <c r="FW15" s="8">
        <v>1248.0999999999999</v>
      </c>
      <c r="FX15" s="9" t="s">
        <v>195</v>
      </c>
      <c r="FY15" s="9" t="s">
        <v>195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outlinePr summaryBelow="0" summaryRight="0"/>
    <pageSetUpPr autoPageBreaks="0"/>
  </sheetPr>
  <dimension ref="A6:A9"/>
  <sheetViews>
    <sheetView zoomScaleNormal="100" workbookViewId="0">
      <selection activeCell="E22" sqref="E22"/>
    </sheetView>
  </sheetViews>
  <sheetFormatPr defaultRowHeight="11.25"/>
  <cols>
    <col min="1" max="1" width="35.85546875" customWidth="1"/>
    <col min="2" max="2" width="9.28515625" customWidth="1"/>
  </cols>
  <sheetData>
    <row r="6" spans="1:1" ht="16.5" customHeight="1">
      <c r="A6" s="1" t="s">
        <v>0</v>
      </c>
    </row>
    <row r="8" spans="1:1" ht="13.5">
      <c r="A8" s="10" t="s">
        <v>201</v>
      </c>
    </row>
    <row r="9" spans="1:1">
      <c r="A9" s="11" t="s">
        <v>202</v>
      </c>
    </row>
  </sheetData>
  <pageMargins left="0.2" right="0.2" top="0.5" bottom="0.5" header="0.5" footer="0.5"/>
  <pageSetup fitToWidth="0" fitToHeight="0" orientation="landscape" horizontalDpi="300" verticalDpi="3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Screening</vt:lpstr>
      <vt:lpstr>Aggregates</vt:lpstr>
      <vt:lpstr>Screen Criteria</vt:lpstr>
      <vt:lpstr>Aggregates!Print_Titles</vt:lpstr>
      <vt:lpstr>'Screen Criteria'!Print_Titles</vt:lpstr>
      <vt:lpstr>Screening!Print_Titles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Satyajit Dasgupta</dc:creator>
  <cp:lastModifiedBy>Venkat Ravindar Gumma</cp:lastModifiedBy>
  <dcterms:created xsi:type="dcterms:W3CDTF">2004-07-20T21:40:42Z</dcterms:created>
  <dcterms:modified xsi:type="dcterms:W3CDTF">2017-02-09T02:44:04Z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 By">
    <vt:lpwstr>SoftArtisans OfficeWriter for Excel 8.6.2.281 (http://officewriter.softartisans.com)</vt:lpwstr>
  </property>
  <property fmtid="{D5CDD505-2E9C-101B-9397-08002B2CF9AE}" pid="3" name="{A44787D4-0540-4523-9961-78E4036D8C6D}">
    <vt:lpwstr>{13C41B54-EA14-4B6D-B168-C68226206CBD}</vt:lpwstr>
  </property>
</Properties>
</file>